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Metrics" sheetId="3" state="visible" r:id="rId5"/>
  </sheets>
  <definedNames>
    <definedName function="false" hidden="true" localSheetId="1" name="_xlnm._FilterDatabase" vbProcedure="false">Data!$A$1:$J$201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<sst xmlns="http://schemas.openxmlformats.org/spreadsheetml/2006/main" count="869" uniqueCount="58">
  <si>
    <t xml:space="preserve">EBOLA OUTBREAK ANALYSIS  |  SIERRA LEONE, 2014</t>
  </si>
  <si>
    <t xml:space="preserve">Total Cases</t>
  </si>
  <si>
    <t xml:space="preserve">Confirmed</t>
  </si>
  <si>
    <t xml:space="preserve">Confirmation Rate</t>
  </si>
  <si>
    <t xml:space="preserve">Districts</t>
  </si>
  <si>
    <t xml:space="preserve">Median Age</t>
  </si>
  <si>
    <t xml:space="preserve">Avg Delay (d)</t>
  </si>
  <si>
    <t xml:space="preserve">Cases by District</t>
  </si>
  <si>
    <t xml:space="preserve">Confirmed vs Suspected</t>
  </si>
  <si>
    <t xml:space="preserve">Cases by Age Group</t>
  </si>
  <si>
    <t xml:space="preserve">Cases by Sex</t>
  </si>
  <si>
    <t xml:space="preserve">Epidemic Curve — Weekly Case Onset</t>
  </si>
  <si>
    <t xml:space="preserve">Case ID</t>
  </si>
  <si>
    <t xml:space="preserve">Age</t>
  </si>
  <si>
    <t xml:space="preserve">Age Group</t>
  </si>
  <si>
    <t xml:space="preserve">Sex</t>
  </si>
  <si>
    <t xml:space="preserve">Status</t>
  </si>
  <si>
    <t xml:space="preserve">District</t>
  </si>
  <si>
    <t xml:space="preserve">Date of Onset</t>
  </si>
  <si>
    <t xml:space="preserve">Date of Sample</t>
  </si>
  <si>
    <t xml:space="preserve">Reporting Delay (days)</t>
  </si>
  <si>
    <t xml:space="preserve">Onset Week</t>
  </si>
  <si>
    <t xml:space="preserve">18-29</t>
  </si>
  <si>
    <t xml:space="preserve">Female</t>
  </si>
  <si>
    <t xml:space="preserve">Kailahun</t>
  </si>
  <si>
    <t xml:space="preserve">30-44</t>
  </si>
  <si>
    <t xml:space="preserve">45-59</t>
  </si>
  <si>
    <t xml:space="preserve">Suspected</t>
  </si>
  <si>
    <t xml:space="preserve">Western Urban</t>
  </si>
  <si>
    <t xml:space="preserve">Unknown</t>
  </si>
  <si>
    <t xml:space="preserve">Male</t>
  </si>
  <si>
    <t xml:space="preserve">0-4</t>
  </si>
  <si>
    <t xml:space="preserve">60+</t>
  </si>
  <si>
    <t xml:space="preserve">Bo</t>
  </si>
  <si>
    <t xml:space="preserve">5-17</t>
  </si>
  <si>
    <t xml:space="preserve">Kenema</t>
  </si>
  <si>
    <t xml:space="preserve">Port Loko</t>
  </si>
  <si>
    <t xml:space="preserve">Kono</t>
  </si>
  <si>
    <t xml:space="preserve">KEY METRICS — Ebola Outbreak, Sierra Leone (2014)</t>
  </si>
  <si>
    <t xml:space="preserve">Confirmed Cases</t>
  </si>
  <si>
    <t xml:space="preserve">Suspected Cases</t>
  </si>
  <si>
    <t xml:space="preserve">Districts Affected</t>
  </si>
  <si>
    <t xml:space="preserve">Mean Age (yrs)</t>
  </si>
  <si>
    <t xml:space="preserve">Median Age (yrs)</t>
  </si>
  <si>
    <t xml:space="preserve">Female Cases</t>
  </si>
  <si>
    <t xml:space="preserve">Male Cases</t>
  </si>
  <si>
    <t xml:space="preserve">Female : Male Ratio</t>
  </si>
  <si>
    <t xml:space="preserve">Avg Reporting Delay (days)</t>
  </si>
  <si>
    <t xml:space="preserve">Max Reporting Delay (days)</t>
  </si>
  <si>
    <t xml:space="preserve">Outbreak Start (onset)</t>
  </si>
  <si>
    <t xml:space="preserve">Outbreak End (onset)</t>
  </si>
  <si>
    <t xml:space="preserve">Outbreak Duration (days)</t>
  </si>
  <si>
    <t xml:space="preserve">Total</t>
  </si>
  <si>
    <t xml:space="preserve">% of Total</t>
  </si>
  <si>
    <t xml:space="preserve">Cases</t>
  </si>
  <si>
    <t xml:space="preserve">Epidemic Curve (Weekly Onset)</t>
  </si>
  <si>
    <t xml:space="preserve">Week Starting</t>
  </si>
  <si>
    <t xml:space="preserve">New Cases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</si>
</sst>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"/>
    <numFmt numFmtId="168" formatCode="yyyy\-mm\-dd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4E5F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86AB"/>
        <bgColor rgb="FF4F81BD"/>
      </patternFill>
    </fill>
    <fill>
      <patternFill patternType="solid">
        <fgColor rgb="FFD6EA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9F9F9"/>
      <rgbColor rgb="FFD6EA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5F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Metrics!B19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Metrics!$A$20:$A$25</c:f>
              <c:strCache>
                <c:ptCount val="6"/>
                <c:pt idx="0">
                  <c:v>Bo</c:v>
                </c:pt>
                <c:pt idx="1">
                  <c:v>Kailahun</c:v>
                </c:pt>
                <c:pt idx="2">
                  <c:v>Kenema</c:v>
                </c:pt>
                <c:pt idx="3">
                  <c:v>Kono</c:v>
                </c:pt>
                <c:pt idx="4">
                  <c:v>Port Loko</c:v>
                </c:pt>
                <c:pt idx="5">
                  <c:v>Western Urban</c:v>
                </c:pt>
              </c:strCache>
            </c:strRef>
          </c:cat>
          <c:val>
            <c:numRef>
              <c:f>Metrics!$B$20:$B$25</c:f>
              <c:numCache>
                <c:formatCode>0</c:formatCode>
                <c:ptCount val="6"/>
                <c:pt idx="0">
                  <c:v>4</c:v>
                </c:pt>
                <c:pt idx="1">
                  <c:v>146</c:v>
                </c:pt>
                <c:pt idx="2">
                  <c:v>41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</c:ser>
        <c:gapWidth val="150"/>
        <c:overlap val="0"/>
        <c:axId val="22869869"/>
        <c:axId val="70631814"/>
      </c:barChart>
      <c:catAx>
        <c:axId val="228698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31814"/>
        <c:crosses val="autoZero"/>
        <c:auto val="1"/>
        <c:lblAlgn val="ctr"/>
        <c:lblOffset val="100"/>
        <c:noMultiLvlLbl val="0"/>
      </c:catAx>
      <c:valAx>
        <c:axId val="70631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9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Metrics!$H$1:$H$2</c:f>
              <c:strCache>
                <c:ptCount val="2"/>
                <c:pt idx="0">
                  <c:v>Confirmed</c:v>
                </c:pt>
                <c:pt idx="1">
                  <c:v>Suspected</c:v>
                </c:pt>
              </c:strCache>
            </c:strRef>
          </c:cat>
          <c:val>
            <c:numRef>
              <c:f>Metrics!$I$1:$I$2</c:f>
              <c:numCache>
                <c:formatCode>General</c:formatCode>
                <c:ptCount val="2"/>
                <c:pt idx="0">
                  <c:v>182</c:v>
                </c:pt>
                <c:pt idx="1">
                  <c:v>18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Metrics!B28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1f4e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Metrics!$A$29:$A$34</c:f>
              <c:strCache>
                <c:ptCount val="6"/>
                <c:pt idx="0">
                  <c:v>0-4</c:v>
                </c:pt>
                <c:pt idx="1">
                  <c:v>5-17</c:v>
                </c:pt>
                <c:pt idx="2">
                  <c:v>18-29</c:v>
                </c:pt>
                <c:pt idx="3">
                  <c:v>30-44</c:v>
                </c:pt>
                <c:pt idx="4">
                  <c:v>45-59</c:v>
                </c:pt>
                <c:pt idx="5">
                  <c:v>60+</c:v>
                </c:pt>
              </c:strCache>
            </c:strRef>
          </c:cat>
          <c:val>
            <c:numRef>
              <c:f>Metrics!$B$29:$B$34</c:f>
              <c:numCache>
                <c:formatCode>General</c:formatCode>
                <c:ptCount val="6"/>
                <c:pt idx="0">
                  <c:v>11</c:v>
                </c:pt>
                <c:pt idx="1">
                  <c:v>32</c:v>
                </c:pt>
                <c:pt idx="2">
                  <c:v>33</c:v>
                </c:pt>
                <c:pt idx="3">
                  <c:v>66</c:v>
                </c:pt>
                <c:pt idx="4">
                  <c:v>30</c:v>
                </c:pt>
                <c:pt idx="5">
                  <c:v>21</c:v>
                </c:pt>
              </c:numCache>
            </c:numRef>
          </c:val>
        </c:ser>
        <c:gapWidth val="150"/>
        <c:overlap val="0"/>
        <c:axId val="70880141"/>
        <c:axId val="98280708"/>
      </c:barChart>
      <c:catAx>
        <c:axId val="708801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80708"/>
        <c:crosses val="autoZero"/>
        <c:auto val="1"/>
        <c:lblAlgn val="ctr"/>
        <c:lblOffset val="100"/>
        <c:noMultiLvlLbl val="0"/>
      </c:catAx>
      <c:valAx>
        <c:axId val="98280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80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Metrics!$A$38:$A$39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Metrics!$B$38:$B$39</c:f>
              <c:numCache>
                <c:formatCode>General</c:formatCode>
                <c:ptCount val="2"/>
                <c:pt idx="0">
                  <c:v>124</c:v>
                </c:pt>
                <c:pt idx="1">
                  <c:v>76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Metrics!B42</c:f>
              <c:strCache>
                <c:ptCount val="1"/>
                <c:pt idx="0">
                  <c:v>New Cases</c:v>
                </c:pt>
              </c:strCache>
            </c:strRef>
          </c:tx>
          <c:spPr>
            <a:solidFill>
              <a:srgbClr val="2e86ab"/>
            </a:solidFill>
            <a:ln w="2808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Metrics!$A$43:$A$49</c:f>
              <c:strCache>
                <c:ptCount val="7"/>
                <c:pt idx="0">
                  <c:v>2014-05-12</c:v>
                </c:pt>
                <c:pt idx="1">
                  <c:v>2014-05-19</c:v>
                </c:pt>
                <c:pt idx="2">
                  <c:v>2014-05-26</c:v>
                </c:pt>
                <c:pt idx="3">
                  <c:v>2014-06-02</c:v>
                </c:pt>
                <c:pt idx="4">
                  <c:v>2014-06-09</c:v>
                </c:pt>
                <c:pt idx="5">
                  <c:v>2014-06-16</c:v>
                </c:pt>
                <c:pt idx="6">
                  <c:v>2014-06-23</c:v>
                </c:pt>
              </c:strCache>
            </c:strRef>
          </c:cat>
          <c:val>
            <c:numRef>
              <c:f>Metrics!$B$43:$B$49</c:f>
              <c:numCache>
                <c:formatCode>General</c:formatCode>
                <c:ptCount val="7"/>
                <c:pt idx="0">
                  <c:v>1</c:v>
                </c:pt>
                <c:pt idx="1">
                  <c:v>7</c:v>
                </c:pt>
                <c:pt idx="2">
                  <c:v>33</c:v>
                </c:pt>
                <c:pt idx="3">
                  <c:v>15</c:v>
                </c:pt>
                <c:pt idx="4">
                  <c:v>57</c:v>
                </c:pt>
                <c:pt idx="5">
                  <c:v>28</c:v>
                </c:pt>
                <c:pt idx="6">
                  <c:v>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25115"/>
        <c:axId val="60899831"/>
      </c:lineChart>
      <c:catAx>
        <c:axId val="58251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9831"/>
        <c:crosses val="autoZero"/>
        <c:auto val="1"/>
        <c:lblAlgn val="ctr"/>
        <c:lblOffset val="100"/>
        <c:noMultiLvlLbl val="0"/>
      </c:catAx>
      <c:valAx>
        <c:axId val="60899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New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5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27360</xdr:colOff>
      <xdr:row>21</xdr:row>
      <xdr:rowOff>114480</xdr:rowOff>
    </xdr:to>
    <xdr:graphicFrame>
      <xdr:nvGraphicFramePr>
        <xdr:cNvPr id="0" name="Chart 1"/>
        <xdr:cNvGraphicFramePr/>
      </xdr:nvGraphicFramePr>
      <xdr:xfrm>
        <a:off x="0" y="1523880"/>
        <a:ext cx="467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10</xdr:col>
      <xdr:colOff>733320</xdr:colOff>
      <xdr:row>21</xdr:row>
      <xdr:rowOff>114480</xdr:rowOff>
    </xdr:to>
    <xdr:graphicFrame>
      <xdr:nvGraphicFramePr>
        <xdr:cNvPr id="1" name="Chart 2"/>
        <xdr:cNvGraphicFramePr/>
      </xdr:nvGraphicFramePr>
      <xdr:xfrm>
        <a:off x="5427360" y="1523880"/>
        <a:ext cx="305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27360</xdr:colOff>
      <xdr:row>37</xdr:row>
      <xdr:rowOff>114840</xdr:rowOff>
    </xdr:to>
    <xdr:graphicFrame>
      <xdr:nvGraphicFramePr>
        <xdr:cNvPr id="2" name="Chart 3"/>
        <xdr:cNvGraphicFramePr/>
      </xdr:nvGraphicFramePr>
      <xdr:xfrm>
        <a:off x="0" y="4572000"/>
        <a:ext cx="467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10</xdr:col>
      <xdr:colOff>733320</xdr:colOff>
      <xdr:row>37</xdr:row>
      <xdr:rowOff>114840</xdr:rowOff>
    </xdr:to>
    <xdr:graphicFrame>
      <xdr:nvGraphicFramePr>
        <xdr:cNvPr id="3" name="Chart 4"/>
        <xdr:cNvGraphicFramePr/>
      </xdr:nvGraphicFramePr>
      <xdr:xfrm>
        <a:off x="5427360" y="4572000"/>
        <a:ext cx="305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12</xdr:col>
      <xdr:colOff>415080</xdr:colOff>
      <xdr:row>54</xdr:row>
      <xdr:rowOff>32400</xdr:rowOff>
    </xdr:to>
    <xdr:graphicFrame>
      <xdr:nvGraphicFramePr>
        <xdr:cNvPr id="4" name="Chart 5"/>
        <xdr:cNvGraphicFramePr/>
      </xdr:nvGraphicFramePr>
      <xdr:xfrm>
        <a:off x="0" y="7620120"/>
        <a:ext cx="971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1" width="1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true" outlineLevel="0" collapsed="false">
      <c r="A4" s="3" t="s">
        <v>1</v>
      </c>
      <c r="B4" s="3"/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  <c r="K4" s="3" t="s">
        <v>6</v>
      </c>
      <c r="L4" s="3"/>
    </row>
    <row r="5" customFormat="false" ht="15" hidden="false" customHeight="true" outlineLevel="0" collapsed="false">
      <c r="A5" s="4" t="n">
        <f aca="false">Metrics!B2</f>
        <v>200</v>
      </c>
      <c r="B5" s="4"/>
      <c r="C5" s="4" t="n">
        <f aca="false">Metrics!B3</f>
        <v>182</v>
      </c>
      <c r="D5" s="4"/>
      <c r="E5" s="5" t="n">
        <f aca="false">Metrics!B5</f>
        <v>0.91</v>
      </c>
      <c r="F5" s="5"/>
      <c r="G5" s="4" t="n">
        <f aca="false">Metrics!B6</f>
        <v>6</v>
      </c>
      <c r="H5" s="4"/>
      <c r="I5" s="4" t="n">
        <f aca="false">Metrics!B8</f>
        <v>32</v>
      </c>
      <c r="J5" s="4"/>
      <c r="K5" s="6" t="n">
        <f aca="false">Metrics!B12</f>
        <v>5.685</v>
      </c>
      <c r="L5" s="6"/>
    </row>
    <row r="6" customFormat="false" ht="15" hidden="false" customHeight="true" outlineLevel="0" collapsed="false">
      <c r="A6" s="4"/>
      <c r="B6" s="4"/>
      <c r="C6" s="4"/>
      <c r="D6" s="4"/>
      <c r="E6" s="5"/>
      <c r="F6" s="5"/>
      <c r="G6" s="4"/>
      <c r="H6" s="4"/>
      <c r="I6" s="4"/>
      <c r="J6" s="4"/>
      <c r="K6" s="6"/>
      <c r="L6" s="6"/>
    </row>
    <row r="8" customFormat="false" ht="15" hidden="false" customHeight="true" outlineLevel="0" collapsed="false">
      <c r="A8" s="7" t="s">
        <v>7</v>
      </c>
      <c r="H8" s="7" t="s">
        <v>8</v>
      </c>
    </row>
    <row r="24" customFormat="false" ht="15" hidden="false" customHeight="true" outlineLevel="0" collapsed="false">
      <c r="A24" s="7" t="s">
        <v>9</v>
      </c>
      <c r="H24" s="7" t="s">
        <v>10</v>
      </c>
    </row>
    <row r="40" customFormat="false" ht="15" hidden="false" customHeight="true" outlineLevel="0" collapsed="false">
      <c r="A40" s="7" t="s">
        <v>11</v>
      </c>
    </row>
  </sheetData>
  <mergeCells count="13">
    <mergeCell ref="A1:O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6"/>
    <col collapsed="false" customWidth="true" hidden="false" outlineLevel="0" max="9" min="9" style="1" width="20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</row>
    <row r="2" customFormat="false" ht="15" hidden="false" customHeight="true" outlineLevel="0" collapsed="false">
      <c r="A2" s="9" t="n">
        <v>1</v>
      </c>
      <c r="B2" s="9" t="n">
        <v>20</v>
      </c>
      <c r="C2" s="10" t="s">
        <v>22</v>
      </c>
      <c r="D2" s="10" t="s">
        <v>23</v>
      </c>
      <c r="E2" s="10" t="s">
        <v>2</v>
      </c>
      <c r="F2" s="10" t="s">
        <v>24</v>
      </c>
      <c r="G2" s="11" t="n">
        <v>41777</v>
      </c>
      <c r="H2" s="11" t="n">
        <v>41782</v>
      </c>
      <c r="I2" s="9" t="n">
        <v>5</v>
      </c>
      <c r="J2" s="11" t="n">
        <v>41771</v>
      </c>
    </row>
    <row r="3" customFormat="false" ht="15" hidden="false" customHeight="true" outlineLevel="0" collapsed="false">
      <c r="A3" s="12" t="n">
        <v>2</v>
      </c>
      <c r="B3" s="12" t="n">
        <v>42</v>
      </c>
      <c r="C3" s="13" t="s">
        <v>25</v>
      </c>
      <c r="D3" s="13" t="s">
        <v>23</v>
      </c>
      <c r="E3" s="13" t="s">
        <v>2</v>
      </c>
      <c r="F3" s="13" t="s">
        <v>24</v>
      </c>
      <c r="G3" s="14" t="n">
        <v>41779</v>
      </c>
      <c r="H3" s="14" t="n">
        <v>41784</v>
      </c>
      <c r="I3" s="12" t="n">
        <v>5</v>
      </c>
      <c r="J3" s="14" t="n">
        <v>41778</v>
      </c>
    </row>
    <row r="4" customFormat="false" ht="15" hidden="false" customHeight="true" outlineLevel="0" collapsed="false">
      <c r="A4" s="9" t="n">
        <v>5</v>
      </c>
      <c r="B4" s="9" t="n">
        <v>19</v>
      </c>
      <c r="C4" s="10" t="s">
        <v>22</v>
      </c>
      <c r="D4" s="10" t="s">
        <v>23</v>
      </c>
      <c r="E4" s="10" t="s">
        <v>2</v>
      </c>
      <c r="F4" s="10" t="s">
        <v>24</v>
      </c>
      <c r="G4" s="11" t="n">
        <v>41780</v>
      </c>
      <c r="H4" s="11" t="n">
        <v>41785</v>
      </c>
      <c r="I4" s="9" t="n">
        <v>5</v>
      </c>
      <c r="J4" s="11" t="n">
        <v>41778</v>
      </c>
    </row>
    <row r="5" customFormat="false" ht="15" hidden="false" customHeight="true" outlineLevel="0" collapsed="false">
      <c r="A5" s="12" t="n">
        <v>9</v>
      </c>
      <c r="B5" s="12" t="n">
        <v>54</v>
      </c>
      <c r="C5" s="13" t="s">
        <v>26</v>
      </c>
      <c r="D5" s="13" t="s">
        <v>23</v>
      </c>
      <c r="E5" s="13" t="s">
        <v>2</v>
      </c>
      <c r="F5" s="13" t="s">
        <v>24</v>
      </c>
      <c r="G5" s="14" t="n">
        <v>41781</v>
      </c>
      <c r="H5" s="14" t="n">
        <v>41786</v>
      </c>
      <c r="I5" s="12" t="n">
        <v>5</v>
      </c>
      <c r="J5" s="14" t="n">
        <v>41778</v>
      </c>
    </row>
    <row r="6" customFormat="false" ht="15" hidden="false" customHeight="true" outlineLevel="0" collapsed="false">
      <c r="A6" s="9" t="n">
        <v>13</v>
      </c>
      <c r="B6" s="9" t="n">
        <v>38</v>
      </c>
      <c r="C6" s="10" t="s">
        <v>25</v>
      </c>
      <c r="D6" s="10" t="s">
        <v>23</v>
      </c>
      <c r="E6" s="10" t="s">
        <v>2</v>
      </c>
      <c r="F6" s="10" t="s">
        <v>24</v>
      </c>
      <c r="G6" s="11" t="n">
        <v>41781</v>
      </c>
      <c r="H6" s="11" t="n">
        <v>41786</v>
      </c>
      <c r="I6" s="9" t="n">
        <v>5</v>
      </c>
      <c r="J6" s="11" t="n">
        <v>41778</v>
      </c>
    </row>
    <row r="7" customFormat="false" ht="15" hidden="false" customHeight="true" outlineLevel="0" collapsed="false">
      <c r="A7" s="12" t="n">
        <v>14</v>
      </c>
      <c r="B7" s="12" t="n">
        <v>29</v>
      </c>
      <c r="C7" s="13" t="s">
        <v>22</v>
      </c>
      <c r="D7" s="13" t="s">
        <v>23</v>
      </c>
      <c r="E7" s="13" t="s">
        <v>27</v>
      </c>
      <c r="F7" s="13" t="s">
        <v>28</v>
      </c>
      <c r="G7" s="14" t="n">
        <v>41782</v>
      </c>
      <c r="H7" s="14" t="n">
        <v>41787</v>
      </c>
      <c r="I7" s="12" t="n">
        <v>5</v>
      </c>
      <c r="J7" s="14" t="n">
        <v>41778</v>
      </c>
    </row>
    <row r="8" customFormat="false" ht="15" hidden="false" customHeight="true" outlineLevel="0" collapsed="false">
      <c r="A8" s="9" t="n">
        <v>15</v>
      </c>
      <c r="B8" s="9" t="n">
        <v>43</v>
      </c>
      <c r="C8" s="10" t="s">
        <v>25</v>
      </c>
      <c r="D8" s="10" t="s">
        <v>23</v>
      </c>
      <c r="E8" s="10" t="s">
        <v>27</v>
      </c>
      <c r="F8" s="10" t="s">
        <v>24</v>
      </c>
      <c r="G8" s="11" t="n">
        <v>41783</v>
      </c>
      <c r="H8" s="11" t="n">
        <v>41788</v>
      </c>
      <c r="I8" s="9" t="n">
        <v>5</v>
      </c>
      <c r="J8" s="11" t="n">
        <v>41778</v>
      </c>
    </row>
    <row r="9" customFormat="false" ht="15" hidden="false" customHeight="true" outlineLevel="0" collapsed="false">
      <c r="A9" s="12" t="n">
        <v>16</v>
      </c>
      <c r="B9" s="12"/>
      <c r="C9" s="13" t="s">
        <v>29</v>
      </c>
      <c r="D9" s="13" t="s">
        <v>23</v>
      </c>
      <c r="E9" s="13" t="s">
        <v>27</v>
      </c>
      <c r="F9" s="13" t="s">
        <v>28</v>
      </c>
      <c r="G9" s="14" t="n">
        <v>41783</v>
      </c>
      <c r="H9" s="14" t="n">
        <v>41788</v>
      </c>
      <c r="I9" s="12" t="n">
        <v>5</v>
      </c>
      <c r="J9" s="14" t="n">
        <v>41778</v>
      </c>
    </row>
    <row r="10" customFormat="false" ht="15" hidden="false" customHeight="true" outlineLevel="0" collapsed="false">
      <c r="A10" s="9" t="n">
        <v>22</v>
      </c>
      <c r="B10" s="9" t="n">
        <v>19</v>
      </c>
      <c r="C10" s="10" t="s">
        <v>22</v>
      </c>
      <c r="D10" s="10" t="s">
        <v>30</v>
      </c>
      <c r="E10" s="10" t="s">
        <v>27</v>
      </c>
      <c r="F10" s="10" t="s">
        <v>24</v>
      </c>
      <c r="G10" s="11" t="n">
        <v>41785</v>
      </c>
      <c r="H10" s="11" t="n">
        <v>41790</v>
      </c>
      <c r="I10" s="9" t="n">
        <v>5</v>
      </c>
      <c r="J10" s="11" t="n">
        <v>41785</v>
      </c>
    </row>
    <row r="11" customFormat="false" ht="15" hidden="false" customHeight="true" outlineLevel="0" collapsed="false">
      <c r="A11" s="12" t="n">
        <v>20</v>
      </c>
      <c r="B11" s="12" t="n">
        <v>3</v>
      </c>
      <c r="C11" s="13" t="s">
        <v>31</v>
      </c>
      <c r="D11" s="13" t="s">
        <v>23</v>
      </c>
      <c r="E11" s="13" t="s">
        <v>27</v>
      </c>
      <c r="F11" s="13" t="s">
        <v>24</v>
      </c>
      <c r="G11" s="14" t="n">
        <v>41785</v>
      </c>
      <c r="H11" s="14" t="n">
        <v>41790</v>
      </c>
      <c r="I11" s="12" t="n">
        <v>5</v>
      </c>
      <c r="J11" s="14" t="n">
        <v>41785</v>
      </c>
    </row>
    <row r="12" customFormat="false" ht="15" hidden="false" customHeight="true" outlineLevel="0" collapsed="false">
      <c r="A12" s="9" t="n">
        <v>19</v>
      </c>
      <c r="B12" s="9" t="n">
        <v>35</v>
      </c>
      <c r="C12" s="10" t="s">
        <v>25</v>
      </c>
      <c r="D12" s="10" t="s">
        <v>23</v>
      </c>
      <c r="E12" s="10" t="s">
        <v>27</v>
      </c>
      <c r="F12" s="10" t="s">
        <v>24</v>
      </c>
      <c r="G12" s="11" t="n">
        <v>41785</v>
      </c>
      <c r="H12" s="11" t="n">
        <v>41790</v>
      </c>
      <c r="I12" s="9" t="n">
        <v>5</v>
      </c>
      <c r="J12" s="11" t="n">
        <v>41785</v>
      </c>
    </row>
    <row r="13" customFormat="false" ht="15" hidden="false" customHeight="true" outlineLevel="0" collapsed="false">
      <c r="A13" s="12" t="n">
        <v>26</v>
      </c>
      <c r="B13" s="12" t="n">
        <v>26</v>
      </c>
      <c r="C13" s="13" t="s">
        <v>22</v>
      </c>
      <c r="D13" s="13" t="s">
        <v>23</v>
      </c>
      <c r="E13" s="13" t="s">
        <v>27</v>
      </c>
      <c r="F13" s="13" t="s">
        <v>28</v>
      </c>
      <c r="G13" s="14" t="n">
        <v>41785</v>
      </c>
      <c r="H13" s="14" t="n">
        <v>41790</v>
      </c>
      <c r="I13" s="12" t="n">
        <v>5</v>
      </c>
      <c r="J13" s="14" t="n">
        <v>41785</v>
      </c>
    </row>
    <row r="14" customFormat="false" ht="15" hidden="false" customHeight="true" outlineLevel="0" collapsed="false">
      <c r="A14" s="9" t="n">
        <v>25</v>
      </c>
      <c r="B14" s="9" t="n">
        <v>62</v>
      </c>
      <c r="C14" s="10" t="s">
        <v>32</v>
      </c>
      <c r="D14" s="10" t="s">
        <v>30</v>
      </c>
      <c r="E14" s="10" t="s">
        <v>27</v>
      </c>
      <c r="F14" s="10" t="s">
        <v>28</v>
      </c>
      <c r="G14" s="11" t="n">
        <v>41785</v>
      </c>
      <c r="H14" s="11" t="n">
        <v>41790</v>
      </c>
      <c r="I14" s="9" t="n">
        <v>5</v>
      </c>
      <c r="J14" s="11" t="n">
        <v>41785</v>
      </c>
    </row>
    <row r="15" customFormat="false" ht="15" hidden="false" customHeight="true" outlineLevel="0" collapsed="false">
      <c r="A15" s="12" t="n">
        <v>24</v>
      </c>
      <c r="B15" s="12" t="n">
        <v>2</v>
      </c>
      <c r="C15" s="13" t="s">
        <v>31</v>
      </c>
      <c r="D15" s="13" t="s">
        <v>30</v>
      </c>
      <c r="E15" s="13" t="s">
        <v>27</v>
      </c>
      <c r="F15" s="13" t="s">
        <v>33</v>
      </c>
      <c r="G15" s="14" t="n">
        <v>41785</v>
      </c>
      <c r="H15" s="14" t="n">
        <v>41790</v>
      </c>
      <c r="I15" s="12" t="n">
        <v>5</v>
      </c>
      <c r="J15" s="14" t="n">
        <v>41785</v>
      </c>
    </row>
    <row r="16" customFormat="false" ht="15" hidden="false" customHeight="true" outlineLevel="0" collapsed="false">
      <c r="A16" s="9" t="n">
        <v>23</v>
      </c>
      <c r="B16" s="9" t="n">
        <v>3</v>
      </c>
      <c r="C16" s="10" t="s">
        <v>31</v>
      </c>
      <c r="D16" s="10" t="s">
        <v>23</v>
      </c>
      <c r="E16" s="10" t="s">
        <v>27</v>
      </c>
      <c r="F16" s="10" t="s">
        <v>33</v>
      </c>
      <c r="G16" s="11" t="n">
        <v>41785</v>
      </c>
      <c r="H16" s="11" t="n">
        <v>41790</v>
      </c>
      <c r="I16" s="9" t="n">
        <v>5</v>
      </c>
      <c r="J16" s="11" t="n">
        <v>41785</v>
      </c>
    </row>
    <row r="17" customFormat="false" ht="15" hidden="false" customHeight="true" outlineLevel="0" collapsed="false">
      <c r="A17" s="12" t="n">
        <v>17</v>
      </c>
      <c r="B17" s="12" t="n">
        <v>38</v>
      </c>
      <c r="C17" s="13" t="s">
        <v>25</v>
      </c>
      <c r="D17" s="13" t="s">
        <v>23</v>
      </c>
      <c r="E17" s="13" t="s">
        <v>2</v>
      </c>
      <c r="F17" s="13" t="s">
        <v>24</v>
      </c>
      <c r="G17" s="14" t="n">
        <v>41785</v>
      </c>
      <c r="H17" s="14" t="n">
        <v>41790</v>
      </c>
      <c r="I17" s="12" t="n">
        <v>5</v>
      </c>
      <c r="J17" s="14" t="n">
        <v>41785</v>
      </c>
    </row>
    <row r="18" customFormat="false" ht="15" hidden="false" customHeight="true" outlineLevel="0" collapsed="false">
      <c r="A18" s="9" t="n">
        <v>29</v>
      </c>
      <c r="B18" s="9" t="n">
        <v>68</v>
      </c>
      <c r="C18" s="10" t="s">
        <v>32</v>
      </c>
      <c r="D18" s="10" t="s">
        <v>23</v>
      </c>
      <c r="E18" s="10" t="s">
        <v>2</v>
      </c>
      <c r="F18" s="10" t="s">
        <v>24</v>
      </c>
      <c r="G18" s="11" t="n">
        <v>41786</v>
      </c>
      <c r="H18" s="11" t="n">
        <v>41791</v>
      </c>
      <c r="I18" s="9" t="n">
        <v>5</v>
      </c>
      <c r="J18" s="11" t="n">
        <v>41785</v>
      </c>
    </row>
    <row r="19" customFormat="false" ht="15" hidden="false" customHeight="true" outlineLevel="0" collapsed="false">
      <c r="A19" s="12" t="n">
        <v>31</v>
      </c>
      <c r="B19" s="12" t="n">
        <v>2</v>
      </c>
      <c r="C19" s="13" t="s">
        <v>31</v>
      </c>
      <c r="D19" s="13" t="s">
        <v>23</v>
      </c>
      <c r="E19" s="13" t="s">
        <v>27</v>
      </c>
      <c r="F19" s="13" t="s">
        <v>24</v>
      </c>
      <c r="G19" s="14" t="n">
        <v>41786</v>
      </c>
      <c r="H19" s="14" t="n">
        <v>41791</v>
      </c>
      <c r="I19" s="12" t="n">
        <v>5</v>
      </c>
      <c r="J19" s="14" t="n">
        <v>41785</v>
      </c>
    </row>
    <row r="20" customFormat="false" ht="15" hidden="false" customHeight="true" outlineLevel="0" collapsed="false">
      <c r="A20" s="9" t="n">
        <v>34</v>
      </c>
      <c r="B20" s="9" t="n">
        <v>16</v>
      </c>
      <c r="C20" s="10" t="s">
        <v>34</v>
      </c>
      <c r="D20" s="10" t="s">
        <v>23</v>
      </c>
      <c r="E20" s="10" t="s">
        <v>27</v>
      </c>
      <c r="F20" s="10" t="s">
        <v>24</v>
      </c>
      <c r="G20" s="11" t="n">
        <v>41786</v>
      </c>
      <c r="H20" s="11" t="n">
        <v>41791</v>
      </c>
      <c r="I20" s="9" t="n">
        <v>5</v>
      </c>
      <c r="J20" s="11" t="n">
        <v>41785</v>
      </c>
    </row>
    <row r="21" customFormat="false" ht="15" hidden="false" customHeight="true" outlineLevel="0" collapsed="false">
      <c r="A21" s="12" t="n">
        <v>27</v>
      </c>
      <c r="B21" s="12" t="n">
        <v>43</v>
      </c>
      <c r="C21" s="13" t="s">
        <v>25</v>
      </c>
      <c r="D21" s="13" t="s">
        <v>30</v>
      </c>
      <c r="E21" s="13" t="s">
        <v>2</v>
      </c>
      <c r="F21" s="13" t="s">
        <v>24</v>
      </c>
      <c r="G21" s="14" t="n">
        <v>41786</v>
      </c>
      <c r="H21" s="14" t="n">
        <v>41791</v>
      </c>
      <c r="I21" s="12" t="n">
        <v>5</v>
      </c>
      <c r="J21" s="14" t="n">
        <v>41785</v>
      </c>
    </row>
    <row r="22" customFormat="false" ht="15" hidden="false" customHeight="true" outlineLevel="0" collapsed="false">
      <c r="A22" s="9" t="n">
        <v>33</v>
      </c>
      <c r="B22" s="9" t="n">
        <v>30</v>
      </c>
      <c r="C22" s="10" t="s">
        <v>25</v>
      </c>
      <c r="D22" s="10" t="s">
        <v>23</v>
      </c>
      <c r="E22" s="10" t="s">
        <v>27</v>
      </c>
      <c r="F22" s="10" t="s">
        <v>24</v>
      </c>
      <c r="G22" s="11" t="n">
        <v>41786</v>
      </c>
      <c r="H22" s="11" t="n">
        <v>41791</v>
      </c>
      <c r="I22" s="9" t="n">
        <v>5</v>
      </c>
      <c r="J22" s="11" t="n">
        <v>41785</v>
      </c>
    </row>
    <row r="23" customFormat="false" ht="15" hidden="false" customHeight="true" outlineLevel="0" collapsed="false">
      <c r="A23" s="12" t="n">
        <v>28</v>
      </c>
      <c r="B23" s="12" t="n">
        <v>45</v>
      </c>
      <c r="C23" s="13" t="s">
        <v>26</v>
      </c>
      <c r="D23" s="13" t="s">
        <v>23</v>
      </c>
      <c r="E23" s="13" t="s">
        <v>2</v>
      </c>
      <c r="F23" s="13" t="s">
        <v>24</v>
      </c>
      <c r="G23" s="14" t="n">
        <v>41786</v>
      </c>
      <c r="H23" s="14" t="n">
        <v>41791</v>
      </c>
      <c r="I23" s="12" t="n">
        <v>5</v>
      </c>
      <c r="J23" s="14" t="n">
        <v>41785</v>
      </c>
    </row>
    <row r="24" customFormat="false" ht="15" hidden="false" customHeight="true" outlineLevel="0" collapsed="false">
      <c r="A24" s="9" t="n">
        <v>30</v>
      </c>
      <c r="B24" s="9" t="n">
        <v>45</v>
      </c>
      <c r="C24" s="10" t="s">
        <v>26</v>
      </c>
      <c r="D24" s="10" t="s">
        <v>23</v>
      </c>
      <c r="E24" s="10" t="s">
        <v>27</v>
      </c>
      <c r="F24" s="10" t="s">
        <v>35</v>
      </c>
      <c r="G24" s="11" t="n">
        <v>41786</v>
      </c>
      <c r="H24" s="11" t="n">
        <v>41790</v>
      </c>
      <c r="I24" s="9" t="n">
        <v>4</v>
      </c>
      <c r="J24" s="11" t="n">
        <v>41785</v>
      </c>
    </row>
    <row r="25" customFormat="false" ht="15" hidden="false" customHeight="true" outlineLevel="0" collapsed="false">
      <c r="A25" s="12" t="n">
        <v>36</v>
      </c>
      <c r="B25" s="12"/>
      <c r="C25" s="13" t="s">
        <v>29</v>
      </c>
      <c r="D25" s="13" t="s">
        <v>30</v>
      </c>
      <c r="E25" s="13" t="s">
        <v>27</v>
      </c>
      <c r="F25" s="13" t="s">
        <v>24</v>
      </c>
      <c r="G25" s="14" t="n">
        <v>41787</v>
      </c>
      <c r="H25" s="14" t="n">
        <v>41792</v>
      </c>
      <c r="I25" s="12" t="n">
        <v>5</v>
      </c>
      <c r="J25" s="14" t="n">
        <v>41785</v>
      </c>
    </row>
    <row r="26" customFormat="false" ht="15" hidden="false" customHeight="true" outlineLevel="0" collapsed="false">
      <c r="A26" s="9" t="n">
        <v>37</v>
      </c>
      <c r="B26" s="9" t="n">
        <v>25</v>
      </c>
      <c r="C26" s="10" t="s">
        <v>22</v>
      </c>
      <c r="D26" s="10" t="s">
        <v>23</v>
      </c>
      <c r="E26" s="10" t="s">
        <v>2</v>
      </c>
      <c r="F26" s="10" t="s">
        <v>24</v>
      </c>
      <c r="G26" s="11" t="n">
        <v>41788</v>
      </c>
      <c r="H26" s="11" t="n">
        <v>41793</v>
      </c>
      <c r="I26" s="9" t="n">
        <v>5</v>
      </c>
      <c r="J26" s="11" t="n">
        <v>41785</v>
      </c>
    </row>
    <row r="27" customFormat="false" ht="15" hidden="false" customHeight="true" outlineLevel="0" collapsed="false">
      <c r="A27" s="12" t="n">
        <v>43</v>
      </c>
      <c r="B27" s="12" t="n">
        <v>37</v>
      </c>
      <c r="C27" s="13" t="s">
        <v>25</v>
      </c>
      <c r="D27" s="13" t="s">
        <v>30</v>
      </c>
      <c r="E27" s="13" t="s">
        <v>2</v>
      </c>
      <c r="F27" s="13" t="s">
        <v>24</v>
      </c>
      <c r="G27" s="14" t="n">
        <v>41788</v>
      </c>
      <c r="H27" s="14" t="n">
        <v>41793</v>
      </c>
      <c r="I27" s="12" t="n">
        <v>5</v>
      </c>
      <c r="J27" s="14" t="n">
        <v>41785</v>
      </c>
    </row>
    <row r="28" customFormat="false" ht="15" hidden="false" customHeight="true" outlineLevel="0" collapsed="false">
      <c r="A28" s="9" t="n">
        <v>48</v>
      </c>
      <c r="B28" s="9" t="n">
        <v>28</v>
      </c>
      <c r="C28" s="10" t="s">
        <v>22</v>
      </c>
      <c r="D28" s="10" t="s">
        <v>23</v>
      </c>
      <c r="E28" s="10" t="s">
        <v>27</v>
      </c>
      <c r="F28" s="10" t="s">
        <v>24</v>
      </c>
      <c r="G28" s="11" t="n">
        <v>41788</v>
      </c>
      <c r="H28" s="11" t="n">
        <v>41793</v>
      </c>
      <c r="I28" s="9" t="n">
        <v>5</v>
      </c>
      <c r="J28" s="11" t="n">
        <v>41785</v>
      </c>
    </row>
    <row r="29" customFormat="false" ht="15" hidden="false" customHeight="true" outlineLevel="0" collapsed="false">
      <c r="A29" s="12" t="n">
        <v>45</v>
      </c>
      <c r="B29" s="12" t="n">
        <v>41</v>
      </c>
      <c r="C29" s="13" t="s">
        <v>25</v>
      </c>
      <c r="D29" s="13" t="s">
        <v>30</v>
      </c>
      <c r="E29" s="13" t="s">
        <v>27</v>
      </c>
      <c r="F29" s="13" t="s">
        <v>24</v>
      </c>
      <c r="G29" s="14" t="n">
        <v>41788</v>
      </c>
      <c r="H29" s="14" t="n">
        <v>41793</v>
      </c>
      <c r="I29" s="12" t="n">
        <v>5</v>
      </c>
      <c r="J29" s="14" t="n">
        <v>41785</v>
      </c>
    </row>
    <row r="30" customFormat="false" ht="15" hidden="false" customHeight="true" outlineLevel="0" collapsed="false">
      <c r="A30" s="9" t="n">
        <v>40</v>
      </c>
      <c r="B30" s="9" t="n">
        <v>20</v>
      </c>
      <c r="C30" s="10" t="s">
        <v>22</v>
      </c>
      <c r="D30" s="10" t="s">
        <v>23</v>
      </c>
      <c r="E30" s="10" t="s">
        <v>2</v>
      </c>
      <c r="F30" s="10" t="s">
        <v>24</v>
      </c>
      <c r="G30" s="11" t="n">
        <v>41788</v>
      </c>
      <c r="H30" s="11" t="n">
        <v>41793</v>
      </c>
      <c r="I30" s="9" t="n">
        <v>5</v>
      </c>
      <c r="J30" s="11" t="n">
        <v>41785</v>
      </c>
    </row>
    <row r="31" customFormat="false" ht="15" hidden="false" customHeight="true" outlineLevel="0" collapsed="false">
      <c r="A31" s="12" t="n">
        <v>42</v>
      </c>
      <c r="B31" s="12" t="n">
        <v>45</v>
      </c>
      <c r="C31" s="13" t="s">
        <v>26</v>
      </c>
      <c r="D31" s="13" t="s">
        <v>23</v>
      </c>
      <c r="E31" s="13" t="s">
        <v>2</v>
      </c>
      <c r="F31" s="13" t="s">
        <v>24</v>
      </c>
      <c r="G31" s="14" t="n">
        <v>41788</v>
      </c>
      <c r="H31" s="14" t="n">
        <v>41793</v>
      </c>
      <c r="I31" s="12" t="n">
        <v>5</v>
      </c>
      <c r="J31" s="14" t="n">
        <v>41785</v>
      </c>
    </row>
    <row r="32" customFormat="false" ht="15" hidden="false" customHeight="true" outlineLevel="0" collapsed="false">
      <c r="A32" s="9" t="n">
        <v>44</v>
      </c>
      <c r="B32" s="9" t="n">
        <v>35</v>
      </c>
      <c r="C32" s="10" t="s">
        <v>25</v>
      </c>
      <c r="D32" s="10" t="s">
        <v>23</v>
      </c>
      <c r="E32" s="10" t="s">
        <v>27</v>
      </c>
      <c r="F32" s="10" t="s">
        <v>24</v>
      </c>
      <c r="G32" s="11" t="n">
        <v>41788</v>
      </c>
      <c r="H32" s="11" t="n">
        <v>41793</v>
      </c>
      <c r="I32" s="9" t="n">
        <v>5</v>
      </c>
      <c r="J32" s="11" t="n">
        <v>41785</v>
      </c>
    </row>
    <row r="33" customFormat="false" ht="15" hidden="false" customHeight="true" outlineLevel="0" collapsed="false">
      <c r="A33" s="12" t="n">
        <v>39</v>
      </c>
      <c r="B33" s="12" t="n">
        <v>65</v>
      </c>
      <c r="C33" s="13" t="s">
        <v>32</v>
      </c>
      <c r="D33" s="13" t="s">
        <v>23</v>
      </c>
      <c r="E33" s="13" t="s">
        <v>2</v>
      </c>
      <c r="F33" s="13" t="s">
        <v>24</v>
      </c>
      <c r="G33" s="14" t="n">
        <v>41788</v>
      </c>
      <c r="H33" s="14" t="n">
        <v>41793</v>
      </c>
      <c r="I33" s="12" t="n">
        <v>5</v>
      </c>
      <c r="J33" s="14" t="n">
        <v>41785</v>
      </c>
    </row>
    <row r="34" customFormat="false" ht="15" hidden="false" customHeight="true" outlineLevel="0" collapsed="false">
      <c r="A34" s="9" t="n">
        <v>41</v>
      </c>
      <c r="B34" s="9" t="n">
        <v>22</v>
      </c>
      <c r="C34" s="10" t="s">
        <v>22</v>
      </c>
      <c r="D34" s="10" t="s">
        <v>23</v>
      </c>
      <c r="E34" s="10" t="s">
        <v>2</v>
      </c>
      <c r="F34" s="10" t="s">
        <v>24</v>
      </c>
      <c r="G34" s="11" t="n">
        <v>41788</v>
      </c>
      <c r="H34" s="11" t="n">
        <v>41793</v>
      </c>
      <c r="I34" s="9" t="n">
        <v>5</v>
      </c>
      <c r="J34" s="11" t="n">
        <v>41785</v>
      </c>
    </row>
    <row r="35" customFormat="false" ht="15" hidden="false" customHeight="true" outlineLevel="0" collapsed="false">
      <c r="A35" s="12" t="n">
        <v>50</v>
      </c>
      <c r="B35" s="12" t="n">
        <v>11</v>
      </c>
      <c r="C35" s="13" t="s">
        <v>34</v>
      </c>
      <c r="D35" s="13" t="s">
        <v>23</v>
      </c>
      <c r="E35" s="13" t="s">
        <v>2</v>
      </c>
      <c r="F35" s="13" t="s">
        <v>24</v>
      </c>
      <c r="G35" s="14" t="n">
        <v>41789</v>
      </c>
      <c r="H35" s="14" t="n">
        <v>41794</v>
      </c>
      <c r="I35" s="12" t="n">
        <v>5</v>
      </c>
      <c r="J35" s="14" t="n">
        <v>41785</v>
      </c>
    </row>
    <row r="36" customFormat="false" ht="15" hidden="false" customHeight="true" outlineLevel="0" collapsed="false">
      <c r="A36" s="9" t="n">
        <v>49</v>
      </c>
      <c r="B36" s="9" t="n">
        <v>44</v>
      </c>
      <c r="C36" s="10" t="s">
        <v>25</v>
      </c>
      <c r="D36" s="10" t="s">
        <v>30</v>
      </c>
      <c r="E36" s="10" t="s">
        <v>2</v>
      </c>
      <c r="F36" s="10" t="s">
        <v>24</v>
      </c>
      <c r="G36" s="11" t="n">
        <v>41789</v>
      </c>
      <c r="H36" s="11" t="n">
        <v>41794</v>
      </c>
      <c r="I36" s="9" t="n">
        <v>5</v>
      </c>
      <c r="J36" s="11" t="n">
        <v>41785</v>
      </c>
    </row>
    <row r="37" customFormat="false" ht="15" hidden="false" customHeight="true" outlineLevel="0" collapsed="false">
      <c r="A37" s="12" t="n">
        <v>53</v>
      </c>
      <c r="B37" s="12" t="n">
        <v>30</v>
      </c>
      <c r="C37" s="13" t="s">
        <v>25</v>
      </c>
      <c r="D37" s="13" t="s">
        <v>23</v>
      </c>
      <c r="E37" s="13" t="s">
        <v>2</v>
      </c>
      <c r="F37" s="13" t="s">
        <v>24</v>
      </c>
      <c r="G37" s="14" t="n">
        <v>41789</v>
      </c>
      <c r="H37" s="14" t="n">
        <v>41794</v>
      </c>
      <c r="I37" s="12" t="n">
        <v>5</v>
      </c>
      <c r="J37" s="14" t="n">
        <v>41785</v>
      </c>
    </row>
    <row r="38" customFormat="false" ht="15" hidden="false" customHeight="true" outlineLevel="0" collapsed="false">
      <c r="A38" s="9" t="n">
        <v>51</v>
      </c>
      <c r="B38" s="9" t="n">
        <v>46</v>
      </c>
      <c r="C38" s="10" t="s">
        <v>26</v>
      </c>
      <c r="D38" s="10" t="s">
        <v>23</v>
      </c>
      <c r="E38" s="10" t="s">
        <v>2</v>
      </c>
      <c r="F38" s="10" t="s">
        <v>24</v>
      </c>
      <c r="G38" s="11" t="n">
        <v>41789</v>
      </c>
      <c r="H38" s="11" t="n">
        <v>41794</v>
      </c>
      <c r="I38" s="9" t="n">
        <v>5</v>
      </c>
      <c r="J38" s="11" t="n">
        <v>41785</v>
      </c>
    </row>
    <row r="39" customFormat="false" ht="15" hidden="false" customHeight="true" outlineLevel="0" collapsed="false">
      <c r="A39" s="12" t="n">
        <v>56</v>
      </c>
      <c r="B39" s="12"/>
      <c r="C39" s="13" t="s">
        <v>29</v>
      </c>
      <c r="D39" s="13" t="s">
        <v>23</v>
      </c>
      <c r="E39" s="13" t="s">
        <v>2</v>
      </c>
      <c r="F39" s="13" t="s">
        <v>24</v>
      </c>
      <c r="G39" s="14" t="n">
        <v>41790</v>
      </c>
      <c r="H39" s="14" t="n">
        <v>41795</v>
      </c>
      <c r="I39" s="12" t="n">
        <v>5</v>
      </c>
      <c r="J39" s="14" t="n">
        <v>41785</v>
      </c>
    </row>
    <row r="40" customFormat="false" ht="15" hidden="false" customHeight="true" outlineLevel="0" collapsed="false">
      <c r="A40" s="9" t="n">
        <v>57</v>
      </c>
      <c r="B40" s="9" t="n">
        <v>30</v>
      </c>
      <c r="C40" s="10" t="s">
        <v>25</v>
      </c>
      <c r="D40" s="10" t="s">
        <v>23</v>
      </c>
      <c r="E40" s="10" t="s">
        <v>2</v>
      </c>
      <c r="F40" s="10" t="s">
        <v>36</v>
      </c>
      <c r="G40" s="11" t="n">
        <v>41790</v>
      </c>
      <c r="H40" s="11" t="n">
        <v>41797</v>
      </c>
      <c r="I40" s="9" t="n">
        <v>7</v>
      </c>
      <c r="J40" s="11" t="n">
        <v>41785</v>
      </c>
    </row>
    <row r="41" customFormat="false" ht="15" hidden="false" customHeight="true" outlineLevel="0" collapsed="false">
      <c r="A41" s="12" t="n">
        <v>61</v>
      </c>
      <c r="B41" s="12" t="n">
        <v>7</v>
      </c>
      <c r="C41" s="13" t="s">
        <v>34</v>
      </c>
      <c r="D41" s="13" t="s">
        <v>23</v>
      </c>
      <c r="E41" s="13" t="s">
        <v>2</v>
      </c>
      <c r="F41" s="13" t="s">
        <v>24</v>
      </c>
      <c r="G41" s="14" t="n">
        <v>41791</v>
      </c>
      <c r="H41" s="14" t="n">
        <v>41796</v>
      </c>
      <c r="I41" s="12" t="n">
        <v>5</v>
      </c>
      <c r="J41" s="14" t="n">
        <v>41785</v>
      </c>
    </row>
    <row r="42" customFormat="false" ht="15" hidden="false" customHeight="true" outlineLevel="0" collapsed="false">
      <c r="A42" s="9" t="n">
        <v>60</v>
      </c>
      <c r="B42" s="9" t="n">
        <v>17</v>
      </c>
      <c r="C42" s="10" t="s">
        <v>34</v>
      </c>
      <c r="D42" s="10" t="s">
        <v>23</v>
      </c>
      <c r="E42" s="10" t="s">
        <v>2</v>
      </c>
      <c r="F42" s="10" t="s">
        <v>24</v>
      </c>
      <c r="G42" s="11" t="n">
        <v>41791</v>
      </c>
      <c r="H42" s="11" t="n">
        <v>41796</v>
      </c>
      <c r="I42" s="9" t="n">
        <v>5</v>
      </c>
      <c r="J42" s="11" t="n">
        <v>41785</v>
      </c>
    </row>
    <row r="43" customFormat="false" ht="15" hidden="false" customHeight="true" outlineLevel="0" collapsed="false">
      <c r="A43" s="12" t="n">
        <v>64</v>
      </c>
      <c r="B43" s="12" t="n">
        <v>60</v>
      </c>
      <c r="C43" s="13" t="s">
        <v>32</v>
      </c>
      <c r="D43" s="13" t="s">
        <v>30</v>
      </c>
      <c r="E43" s="13" t="s">
        <v>2</v>
      </c>
      <c r="F43" s="13" t="s">
        <v>24</v>
      </c>
      <c r="G43" s="14" t="n">
        <v>41792</v>
      </c>
      <c r="H43" s="14" t="n">
        <v>41797</v>
      </c>
      <c r="I43" s="12" t="n">
        <v>5</v>
      </c>
      <c r="J43" s="14" t="n">
        <v>41792</v>
      </c>
    </row>
    <row r="44" customFormat="false" ht="15" hidden="false" customHeight="true" outlineLevel="0" collapsed="false">
      <c r="A44" s="9" t="n">
        <v>65</v>
      </c>
      <c r="B44" s="9" t="n">
        <v>40</v>
      </c>
      <c r="C44" s="10" t="s">
        <v>25</v>
      </c>
      <c r="D44" s="10" t="s">
        <v>30</v>
      </c>
      <c r="E44" s="10" t="s">
        <v>2</v>
      </c>
      <c r="F44" s="10" t="s">
        <v>36</v>
      </c>
      <c r="G44" s="11" t="n">
        <v>41793</v>
      </c>
      <c r="H44" s="11" t="n">
        <v>41800</v>
      </c>
      <c r="I44" s="9" t="n">
        <v>7</v>
      </c>
      <c r="J44" s="11" t="n">
        <v>41792</v>
      </c>
    </row>
    <row r="45" customFormat="false" ht="15" hidden="false" customHeight="true" outlineLevel="0" collapsed="false">
      <c r="A45" s="12" t="n">
        <v>67</v>
      </c>
      <c r="B45" s="12" t="n">
        <v>35</v>
      </c>
      <c r="C45" s="13" t="s">
        <v>25</v>
      </c>
      <c r="D45" s="13" t="s">
        <v>23</v>
      </c>
      <c r="E45" s="13" t="s">
        <v>2</v>
      </c>
      <c r="F45" s="13" t="s">
        <v>24</v>
      </c>
      <c r="G45" s="14" t="n">
        <v>41795</v>
      </c>
      <c r="H45" s="14" t="n">
        <v>41800</v>
      </c>
      <c r="I45" s="12" t="n">
        <v>5</v>
      </c>
      <c r="J45" s="14" t="n">
        <v>41792</v>
      </c>
    </row>
    <row r="46" customFormat="false" ht="15" hidden="false" customHeight="true" outlineLevel="0" collapsed="false">
      <c r="A46" s="9" t="n">
        <v>75</v>
      </c>
      <c r="B46" s="9" t="n">
        <v>7</v>
      </c>
      <c r="C46" s="10" t="s">
        <v>34</v>
      </c>
      <c r="D46" s="10" t="s">
        <v>23</v>
      </c>
      <c r="E46" s="10" t="s">
        <v>2</v>
      </c>
      <c r="F46" s="10" t="s">
        <v>24</v>
      </c>
      <c r="G46" s="11" t="n">
        <v>41796</v>
      </c>
      <c r="H46" s="11" t="n">
        <v>41841</v>
      </c>
      <c r="I46" s="9" t="n">
        <v>45</v>
      </c>
      <c r="J46" s="11" t="n">
        <v>41792</v>
      </c>
    </row>
    <row r="47" customFormat="false" ht="15" hidden="false" customHeight="true" outlineLevel="0" collapsed="false">
      <c r="A47" s="12" t="n">
        <v>70</v>
      </c>
      <c r="B47" s="12" t="n">
        <v>50</v>
      </c>
      <c r="C47" s="13" t="s">
        <v>26</v>
      </c>
      <c r="D47" s="13" t="s">
        <v>23</v>
      </c>
      <c r="E47" s="13" t="s">
        <v>2</v>
      </c>
      <c r="F47" s="13" t="s">
        <v>24</v>
      </c>
      <c r="G47" s="14" t="n">
        <v>41796</v>
      </c>
      <c r="H47" s="14" t="n">
        <v>41801</v>
      </c>
      <c r="I47" s="12" t="n">
        <v>5</v>
      </c>
      <c r="J47" s="14" t="n">
        <v>41792</v>
      </c>
    </row>
    <row r="48" customFormat="false" ht="15" hidden="false" customHeight="true" outlineLevel="0" collapsed="false">
      <c r="A48" s="9" t="n">
        <v>72</v>
      </c>
      <c r="B48" s="9" t="n">
        <v>63</v>
      </c>
      <c r="C48" s="10" t="s">
        <v>32</v>
      </c>
      <c r="D48" s="10" t="s">
        <v>30</v>
      </c>
      <c r="E48" s="10" t="s">
        <v>2</v>
      </c>
      <c r="F48" s="10" t="s">
        <v>24</v>
      </c>
      <c r="G48" s="11" t="n">
        <v>41796</v>
      </c>
      <c r="H48" s="11" t="n">
        <v>41801</v>
      </c>
      <c r="I48" s="9" t="n">
        <v>5</v>
      </c>
      <c r="J48" s="11" t="n">
        <v>41792</v>
      </c>
    </row>
    <row r="49" customFormat="false" ht="15" hidden="false" customHeight="true" outlineLevel="0" collapsed="false">
      <c r="A49" s="12" t="n">
        <v>73</v>
      </c>
      <c r="B49" s="12" t="n">
        <v>35</v>
      </c>
      <c r="C49" s="13" t="s">
        <v>25</v>
      </c>
      <c r="D49" s="13" t="s">
        <v>23</v>
      </c>
      <c r="E49" s="13" t="s">
        <v>2</v>
      </c>
      <c r="F49" s="13" t="s">
        <v>24</v>
      </c>
      <c r="G49" s="14" t="n">
        <v>41796</v>
      </c>
      <c r="H49" s="14" t="n">
        <v>41801</v>
      </c>
      <c r="I49" s="12" t="n">
        <v>5</v>
      </c>
      <c r="J49" s="14" t="n">
        <v>41792</v>
      </c>
    </row>
    <row r="50" customFormat="false" ht="15" hidden="false" customHeight="true" outlineLevel="0" collapsed="false">
      <c r="A50" s="9" t="n">
        <v>71</v>
      </c>
      <c r="B50" s="9" t="n">
        <v>29</v>
      </c>
      <c r="C50" s="10" t="s">
        <v>22</v>
      </c>
      <c r="D50" s="10" t="s">
        <v>30</v>
      </c>
      <c r="E50" s="10" t="s">
        <v>2</v>
      </c>
      <c r="F50" s="10" t="s">
        <v>24</v>
      </c>
      <c r="G50" s="11" t="n">
        <v>41796</v>
      </c>
      <c r="H50" s="11" t="n">
        <v>41801</v>
      </c>
      <c r="I50" s="9" t="n">
        <v>5</v>
      </c>
      <c r="J50" s="11" t="n">
        <v>41792</v>
      </c>
    </row>
    <row r="51" customFormat="false" ht="15" hidden="false" customHeight="true" outlineLevel="0" collapsed="false">
      <c r="A51" s="12" t="n">
        <v>77</v>
      </c>
      <c r="B51" s="12" t="n">
        <v>40</v>
      </c>
      <c r="C51" s="13" t="s">
        <v>25</v>
      </c>
      <c r="D51" s="13" t="s">
        <v>23</v>
      </c>
      <c r="E51" s="13" t="s">
        <v>2</v>
      </c>
      <c r="F51" s="13" t="s">
        <v>24</v>
      </c>
      <c r="G51" s="14" t="n">
        <v>41797</v>
      </c>
      <c r="H51" s="14" t="n">
        <v>41802</v>
      </c>
      <c r="I51" s="12" t="n">
        <v>5</v>
      </c>
      <c r="J51" s="14" t="n">
        <v>41792</v>
      </c>
    </row>
    <row r="52" customFormat="false" ht="15" hidden="false" customHeight="true" outlineLevel="0" collapsed="false">
      <c r="A52" s="9" t="n">
        <v>78</v>
      </c>
      <c r="B52" s="9" t="n">
        <v>40</v>
      </c>
      <c r="C52" s="10" t="s">
        <v>25</v>
      </c>
      <c r="D52" s="10" t="s">
        <v>30</v>
      </c>
      <c r="E52" s="10" t="s">
        <v>2</v>
      </c>
      <c r="F52" s="10" t="s">
        <v>24</v>
      </c>
      <c r="G52" s="11" t="n">
        <v>41797</v>
      </c>
      <c r="H52" s="11" t="n">
        <v>41802</v>
      </c>
      <c r="I52" s="9" t="n">
        <v>5</v>
      </c>
      <c r="J52" s="11" t="n">
        <v>41792</v>
      </c>
    </row>
    <row r="53" customFormat="false" ht="15" hidden="false" customHeight="true" outlineLevel="0" collapsed="false">
      <c r="A53" s="12" t="n">
        <v>79</v>
      </c>
      <c r="B53" s="12" t="n">
        <v>45</v>
      </c>
      <c r="C53" s="13" t="s">
        <v>26</v>
      </c>
      <c r="D53" s="13" t="s">
        <v>30</v>
      </c>
      <c r="E53" s="13" t="s">
        <v>2</v>
      </c>
      <c r="F53" s="13" t="s">
        <v>24</v>
      </c>
      <c r="G53" s="14" t="n">
        <v>41797</v>
      </c>
      <c r="H53" s="14" t="n">
        <v>41802</v>
      </c>
      <c r="I53" s="12" t="n">
        <v>5</v>
      </c>
      <c r="J53" s="14" t="n">
        <v>41792</v>
      </c>
    </row>
    <row r="54" customFormat="false" ht="15" hidden="false" customHeight="true" outlineLevel="0" collapsed="false">
      <c r="A54" s="9" t="n">
        <v>83</v>
      </c>
      <c r="B54" s="9" t="n">
        <v>30</v>
      </c>
      <c r="C54" s="10" t="s">
        <v>25</v>
      </c>
      <c r="D54" s="10" t="s">
        <v>23</v>
      </c>
      <c r="E54" s="10" t="s">
        <v>2</v>
      </c>
      <c r="F54" s="10" t="s">
        <v>24</v>
      </c>
      <c r="G54" s="11" t="n">
        <v>41798</v>
      </c>
      <c r="H54" s="11" t="n">
        <v>41803</v>
      </c>
      <c r="I54" s="9" t="n">
        <v>5</v>
      </c>
      <c r="J54" s="11" t="n">
        <v>41792</v>
      </c>
    </row>
    <row r="55" customFormat="false" ht="15" hidden="false" customHeight="true" outlineLevel="0" collapsed="false">
      <c r="A55" s="12" t="n">
        <v>84</v>
      </c>
      <c r="B55" s="12" t="n">
        <v>73</v>
      </c>
      <c r="C55" s="13" t="s">
        <v>32</v>
      </c>
      <c r="D55" s="13" t="s">
        <v>30</v>
      </c>
      <c r="E55" s="13" t="s">
        <v>2</v>
      </c>
      <c r="F55" s="13" t="s">
        <v>24</v>
      </c>
      <c r="G55" s="14" t="n">
        <v>41798</v>
      </c>
      <c r="H55" s="14" t="n">
        <v>41803</v>
      </c>
      <c r="I55" s="12" t="n">
        <v>5</v>
      </c>
      <c r="J55" s="14" t="n">
        <v>41792</v>
      </c>
    </row>
    <row r="56" customFormat="false" ht="15" hidden="false" customHeight="true" outlineLevel="0" collapsed="false">
      <c r="A56" s="9" t="n">
        <v>80</v>
      </c>
      <c r="B56" s="9" t="n">
        <v>45</v>
      </c>
      <c r="C56" s="10" t="s">
        <v>26</v>
      </c>
      <c r="D56" s="10" t="s">
        <v>30</v>
      </c>
      <c r="E56" s="10" t="s">
        <v>2</v>
      </c>
      <c r="F56" s="10" t="s">
        <v>24</v>
      </c>
      <c r="G56" s="11" t="n">
        <v>41798</v>
      </c>
      <c r="H56" s="11" t="n">
        <v>41803</v>
      </c>
      <c r="I56" s="9" t="n">
        <v>5</v>
      </c>
      <c r="J56" s="11" t="n">
        <v>41792</v>
      </c>
    </row>
    <row r="57" customFormat="false" ht="15" hidden="false" customHeight="true" outlineLevel="0" collapsed="false">
      <c r="A57" s="12" t="n">
        <v>85</v>
      </c>
      <c r="B57" s="12" t="n">
        <v>20</v>
      </c>
      <c r="C57" s="13" t="s">
        <v>22</v>
      </c>
      <c r="D57" s="13" t="s">
        <v>30</v>
      </c>
      <c r="E57" s="13" t="s">
        <v>2</v>
      </c>
      <c r="F57" s="13" t="s">
        <v>24</v>
      </c>
      <c r="G57" s="14" t="n">
        <v>41798</v>
      </c>
      <c r="H57" s="14" t="n">
        <v>41814</v>
      </c>
      <c r="I57" s="12" t="n">
        <v>16</v>
      </c>
      <c r="J57" s="14" t="n">
        <v>41792</v>
      </c>
    </row>
    <row r="58" customFormat="false" ht="15" hidden="false" customHeight="true" outlineLevel="0" collapsed="false">
      <c r="A58" s="9" t="n">
        <v>86</v>
      </c>
      <c r="B58" s="9" t="n">
        <v>38</v>
      </c>
      <c r="C58" s="10" t="s">
        <v>25</v>
      </c>
      <c r="D58" s="10" t="s">
        <v>23</v>
      </c>
      <c r="E58" s="10" t="s">
        <v>2</v>
      </c>
      <c r="F58" s="10" t="s">
        <v>24</v>
      </c>
      <c r="G58" s="11" t="n">
        <v>41799</v>
      </c>
      <c r="H58" s="11" t="n">
        <v>41804</v>
      </c>
      <c r="I58" s="9" t="n">
        <v>5</v>
      </c>
      <c r="J58" s="11" t="n">
        <v>41799</v>
      </c>
    </row>
    <row r="59" customFormat="false" ht="15" hidden="false" customHeight="true" outlineLevel="0" collapsed="false">
      <c r="A59" s="12" t="n">
        <v>98</v>
      </c>
      <c r="B59" s="12" t="n">
        <v>38</v>
      </c>
      <c r="C59" s="13" t="s">
        <v>25</v>
      </c>
      <c r="D59" s="13" t="s">
        <v>23</v>
      </c>
      <c r="E59" s="13" t="s">
        <v>2</v>
      </c>
      <c r="F59" s="13" t="s">
        <v>24</v>
      </c>
      <c r="G59" s="14" t="n">
        <v>41800</v>
      </c>
      <c r="H59" s="14" t="n">
        <v>41805</v>
      </c>
      <c r="I59" s="12" t="n">
        <v>5</v>
      </c>
      <c r="J59" s="14" t="n">
        <v>41799</v>
      </c>
    </row>
    <row r="60" customFormat="false" ht="15" hidden="false" customHeight="true" outlineLevel="0" collapsed="false">
      <c r="A60" s="9" t="n">
        <v>87</v>
      </c>
      <c r="B60" s="9" t="n">
        <v>60</v>
      </c>
      <c r="C60" s="10" t="s">
        <v>32</v>
      </c>
      <c r="D60" s="10" t="s">
        <v>23</v>
      </c>
      <c r="E60" s="10" t="s">
        <v>2</v>
      </c>
      <c r="F60" s="10" t="s">
        <v>24</v>
      </c>
      <c r="G60" s="11" t="n">
        <v>41800</v>
      </c>
      <c r="H60" s="11" t="n">
        <v>41805</v>
      </c>
      <c r="I60" s="9" t="n">
        <v>5</v>
      </c>
      <c r="J60" s="11" t="n">
        <v>41799</v>
      </c>
    </row>
    <row r="61" customFormat="false" ht="15" hidden="false" customHeight="true" outlineLevel="0" collapsed="false">
      <c r="A61" s="12" t="n">
        <v>100</v>
      </c>
      <c r="B61" s="12" t="n">
        <v>40</v>
      </c>
      <c r="C61" s="13" t="s">
        <v>25</v>
      </c>
      <c r="D61" s="13" t="s">
        <v>23</v>
      </c>
      <c r="E61" s="13" t="s">
        <v>2</v>
      </c>
      <c r="F61" s="13" t="s">
        <v>24</v>
      </c>
      <c r="G61" s="14" t="n">
        <v>41800</v>
      </c>
      <c r="H61" s="14" t="n">
        <v>41805</v>
      </c>
      <c r="I61" s="12" t="n">
        <v>5</v>
      </c>
      <c r="J61" s="14" t="n">
        <v>41799</v>
      </c>
    </row>
    <row r="62" customFormat="false" ht="15" hidden="false" customHeight="true" outlineLevel="0" collapsed="false">
      <c r="A62" s="9" t="n">
        <v>102</v>
      </c>
      <c r="B62" s="9" t="n">
        <v>40</v>
      </c>
      <c r="C62" s="10" t="s">
        <v>25</v>
      </c>
      <c r="D62" s="10" t="s">
        <v>23</v>
      </c>
      <c r="E62" s="10" t="s">
        <v>2</v>
      </c>
      <c r="F62" s="10" t="s">
        <v>24</v>
      </c>
      <c r="G62" s="11" t="n">
        <v>41800</v>
      </c>
      <c r="H62" s="11" t="n">
        <v>41805</v>
      </c>
      <c r="I62" s="9" t="n">
        <v>5</v>
      </c>
      <c r="J62" s="11" t="n">
        <v>41799</v>
      </c>
    </row>
    <row r="63" customFormat="false" ht="15" hidden="false" customHeight="true" outlineLevel="0" collapsed="false">
      <c r="A63" s="12" t="n">
        <v>99</v>
      </c>
      <c r="B63" s="12" t="n">
        <v>12</v>
      </c>
      <c r="C63" s="13" t="s">
        <v>34</v>
      </c>
      <c r="D63" s="13" t="s">
        <v>30</v>
      </c>
      <c r="E63" s="13" t="s">
        <v>2</v>
      </c>
      <c r="F63" s="13" t="s">
        <v>24</v>
      </c>
      <c r="G63" s="14" t="n">
        <v>41800</v>
      </c>
      <c r="H63" s="14" t="n">
        <v>41805</v>
      </c>
      <c r="I63" s="12" t="n">
        <v>5</v>
      </c>
      <c r="J63" s="14" t="n">
        <v>41799</v>
      </c>
    </row>
    <row r="64" customFormat="false" ht="15" hidden="false" customHeight="true" outlineLevel="0" collapsed="false">
      <c r="A64" s="9" t="n">
        <v>107</v>
      </c>
      <c r="B64" s="9" t="n">
        <v>35</v>
      </c>
      <c r="C64" s="10" t="s">
        <v>25</v>
      </c>
      <c r="D64" s="10" t="s">
        <v>23</v>
      </c>
      <c r="E64" s="10" t="s">
        <v>2</v>
      </c>
      <c r="F64" s="10" t="s">
        <v>24</v>
      </c>
      <c r="G64" s="11" t="n">
        <v>41800</v>
      </c>
      <c r="H64" s="11" t="n">
        <v>41805</v>
      </c>
      <c r="I64" s="9" t="n">
        <v>5</v>
      </c>
      <c r="J64" s="11" t="n">
        <v>41799</v>
      </c>
    </row>
    <row r="65" customFormat="false" ht="15" hidden="false" customHeight="true" outlineLevel="0" collapsed="false">
      <c r="A65" s="12" t="n">
        <v>90</v>
      </c>
      <c r="B65" s="12" t="n">
        <v>40</v>
      </c>
      <c r="C65" s="13" t="s">
        <v>25</v>
      </c>
      <c r="D65" s="13" t="s">
        <v>23</v>
      </c>
      <c r="E65" s="13" t="s">
        <v>2</v>
      </c>
      <c r="F65" s="13" t="s">
        <v>24</v>
      </c>
      <c r="G65" s="14" t="n">
        <v>41800</v>
      </c>
      <c r="H65" s="14" t="n">
        <v>41805</v>
      </c>
      <c r="I65" s="12" t="n">
        <v>5</v>
      </c>
      <c r="J65" s="14" t="n">
        <v>41799</v>
      </c>
    </row>
    <row r="66" customFormat="false" ht="15" hidden="false" customHeight="true" outlineLevel="0" collapsed="false">
      <c r="A66" s="9" t="n">
        <v>113</v>
      </c>
      <c r="B66" s="9" t="n">
        <v>50</v>
      </c>
      <c r="C66" s="10" t="s">
        <v>26</v>
      </c>
      <c r="D66" s="10" t="s">
        <v>23</v>
      </c>
      <c r="E66" s="10" t="s">
        <v>2</v>
      </c>
      <c r="F66" s="10" t="s">
        <v>24</v>
      </c>
      <c r="G66" s="11" t="n">
        <v>41800</v>
      </c>
      <c r="H66" s="11" t="n">
        <v>41805</v>
      </c>
      <c r="I66" s="9" t="n">
        <v>5</v>
      </c>
      <c r="J66" s="11" t="n">
        <v>41799</v>
      </c>
    </row>
    <row r="67" customFormat="false" ht="15" hidden="false" customHeight="true" outlineLevel="0" collapsed="false">
      <c r="A67" s="12" t="n">
        <v>106</v>
      </c>
      <c r="B67" s="12" t="n">
        <v>52</v>
      </c>
      <c r="C67" s="13" t="s">
        <v>26</v>
      </c>
      <c r="D67" s="13" t="s">
        <v>23</v>
      </c>
      <c r="E67" s="13" t="s">
        <v>2</v>
      </c>
      <c r="F67" s="13" t="s">
        <v>24</v>
      </c>
      <c r="G67" s="14" t="n">
        <v>41800</v>
      </c>
      <c r="H67" s="14" t="n">
        <v>41805</v>
      </c>
      <c r="I67" s="12" t="n">
        <v>5</v>
      </c>
      <c r="J67" s="14" t="n">
        <v>41799</v>
      </c>
    </row>
    <row r="68" customFormat="false" ht="15" hidden="false" customHeight="true" outlineLevel="0" collapsed="false">
      <c r="A68" s="9" t="n">
        <v>91</v>
      </c>
      <c r="B68" s="9" t="n">
        <v>20</v>
      </c>
      <c r="C68" s="10" t="s">
        <v>22</v>
      </c>
      <c r="D68" s="10" t="s">
        <v>23</v>
      </c>
      <c r="E68" s="10" t="s">
        <v>2</v>
      </c>
      <c r="F68" s="10" t="s">
        <v>24</v>
      </c>
      <c r="G68" s="11" t="n">
        <v>41800</v>
      </c>
      <c r="H68" s="11" t="n">
        <v>41805</v>
      </c>
      <c r="I68" s="9" t="n">
        <v>5</v>
      </c>
      <c r="J68" s="11" t="n">
        <v>41799</v>
      </c>
    </row>
    <row r="69" customFormat="false" ht="15" hidden="false" customHeight="true" outlineLevel="0" collapsed="false">
      <c r="A69" s="12" t="n">
        <v>103</v>
      </c>
      <c r="B69" s="12" t="n">
        <v>13</v>
      </c>
      <c r="C69" s="13" t="s">
        <v>34</v>
      </c>
      <c r="D69" s="13" t="s">
        <v>30</v>
      </c>
      <c r="E69" s="13" t="s">
        <v>2</v>
      </c>
      <c r="F69" s="13" t="s">
        <v>24</v>
      </c>
      <c r="G69" s="14" t="n">
        <v>41800</v>
      </c>
      <c r="H69" s="14" t="n">
        <v>41805</v>
      </c>
      <c r="I69" s="12" t="n">
        <v>5</v>
      </c>
      <c r="J69" s="14" t="n">
        <v>41799</v>
      </c>
    </row>
    <row r="70" customFormat="false" ht="15" hidden="false" customHeight="true" outlineLevel="0" collapsed="false">
      <c r="A70" s="9" t="n">
        <v>92</v>
      </c>
      <c r="B70" s="9" t="n">
        <v>6</v>
      </c>
      <c r="C70" s="10" t="s">
        <v>34</v>
      </c>
      <c r="D70" s="10" t="s">
        <v>30</v>
      </c>
      <c r="E70" s="10" t="s">
        <v>2</v>
      </c>
      <c r="F70" s="10" t="s">
        <v>24</v>
      </c>
      <c r="G70" s="11" t="n">
        <v>41800</v>
      </c>
      <c r="H70" s="11" t="n">
        <v>41805</v>
      </c>
      <c r="I70" s="9" t="n">
        <v>5</v>
      </c>
      <c r="J70" s="11" t="n">
        <v>41799</v>
      </c>
    </row>
    <row r="71" customFormat="false" ht="15" hidden="false" customHeight="true" outlineLevel="0" collapsed="false">
      <c r="A71" s="12" t="n">
        <v>88</v>
      </c>
      <c r="B71" s="12" t="n">
        <v>35</v>
      </c>
      <c r="C71" s="13" t="s">
        <v>25</v>
      </c>
      <c r="D71" s="13" t="s">
        <v>23</v>
      </c>
      <c r="E71" s="13" t="s">
        <v>2</v>
      </c>
      <c r="F71" s="13" t="s">
        <v>24</v>
      </c>
      <c r="G71" s="14" t="n">
        <v>41800</v>
      </c>
      <c r="H71" s="14" t="n">
        <v>41805</v>
      </c>
      <c r="I71" s="12" t="n">
        <v>5</v>
      </c>
      <c r="J71" s="14" t="n">
        <v>41799</v>
      </c>
    </row>
    <row r="72" customFormat="false" ht="15" hidden="false" customHeight="true" outlineLevel="0" collapsed="false">
      <c r="A72" s="9" t="n">
        <v>115</v>
      </c>
      <c r="B72" s="9" t="n">
        <v>50</v>
      </c>
      <c r="C72" s="10" t="s">
        <v>26</v>
      </c>
      <c r="D72" s="10" t="s">
        <v>30</v>
      </c>
      <c r="E72" s="10" t="s">
        <v>2</v>
      </c>
      <c r="F72" s="10" t="s">
        <v>24</v>
      </c>
      <c r="G72" s="11" t="n">
        <v>41800</v>
      </c>
      <c r="H72" s="11" t="n">
        <v>41815</v>
      </c>
      <c r="I72" s="9" t="n">
        <v>15</v>
      </c>
      <c r="J72" s="11" t="n">
        <v>41799</v>
      </c>
    </row>
    <row r="73" customFormat="false" ht="15" hidden="false" customHeight="true" outlineLevel="0" collapsed="false">
      <c r="A73" s="12" t="n">
        <v>111</v>
      </c>
      <c r="B73" s="12" t="n">
        <v>30</v>
      </c>
      <c r="C73" s="13" t="s">
        <v>25</v>
      </c>
      <c r="D73" s="13" t="s">
        <v>30</v>
      </c>
      <c r="E73" s="13" t="s">
        <v>2</v>
      </c>
      <c r="F73" s="13" t="s">
        <v>24</v>
      </c>
      <c r="G73" s="14" t="n">
        <v>41800</v>
      </c>
      <c r="H73" s="14" t="n">
        <v>41805</v>
      </c>
      <c r="I73" s="12" t="n">
        <v>5</v>
      </c>
      <c r="J73" s="14" t="n">
        <v>41799</v>
      </c>
    </row>
    <row r="74" customFormat="false" ht="15" hidden="false" customHeight="true" outlineLevel="0" collapsed="false">
      <c r="A74" s="9" t="n">
        <v>110</v>
      </c>
      <c r="B74" s="9" t="n">
        <v>6</v>
      </c>
      <c r="C74" s="10" t="s">
        <v>34</v>
      </c>
      <c r="D74" s="10" t="s">
        <v>30</v>
      </c>
      <c r="E74" s="10" t="s">
        <v>2</v>
      </c>
      <c r="F74" s="10" t="s">
        <v>24</v>
      </c>
      <c r="G74" s="11" t="n">
        <v>41800</v>
      </c>
      <c r="H74" s="11" t="n">
        <v>41805</v>
      </c>
      <c r="I74" s="9" t="n">
        <v>5</v>
      </c>
      <c r="J74" s="11" t="n">
        <v>41799</v>
      </c>
    </row>
    <row r="75" customFormat="false" ht="15" hidden="false" customHeight="true" outlineLevel="0" collapsed="false">
      <c r="A75" s="12" t="n">
        <v>93</v>
      </c>
      <c r="B75" s="12" t="n">
        <v>2</v>
      </c>
      <c r="C75" s="13" t="s">
        <v>31</v>
      </c>
      <c r="D75" s="13" t="s">
        <v>30</v>
      </c>
      <c r="E75" s="13" t="s">
        <v>2</v>
      </c>
      <c r="F75" s="13" t="s">
        <v>24</v>
      </c>
      <c r="G75" s="14" t="n">
        <v>41800</v>
      </c>
      <c r="H75" s="14" t="n">
        <v>41805</v>
      </c>
      <c r="I75" s="12" t="n">
        <v>5</v>
      </c>
      <c r="J75" s="14" t="n">
        <v>41799</v>
      </c>
    </row>
    <row r="76" customFormat="false" ht="15" hidden="false" customHeight="true" outlineLevel="0" collapsed="false">
      <c r="A76" s="9" t="n">
        <v>105</v>
      </c>
      <c r="B76" s="9" t="n">
        <v>30</v>
      </c>
      <c r="C76" s="10" t="s">
        <v>25</v>
      </c>
      <c r="D76" s="10" t="s">
        <v>23</v>
      </c>
      <c r="E76" s="10" t="s">
        <v>2</v>
      </c>
      <c r="F76" s="10" t="s">
        <v>24</v>
      </c>
      <c r="G76" s="11" t="n">
        <v>41800</v>
      </c>
      <c r="H76" s="11" t="n">
        <v>41805</v>
      </c>
      <c r="I76" s="9" t="n">
        <v>5</v>
      </c>
      <c r="J76" s="11" t="n">
        <v>41799</v>
      </c>
    </row>
    <row r="77" customFormat="false" ht="15" hidden="false" customHeight="true" outlineLevel="0" collapsed="false">
      <c r="A77" s="12" t="n">
        <v>96</v>
      </c>
      <c r="B77" s="12" t="n">
        <v>4</v>
      </c>
      <c r="C77" s="13" t="s">
        <v>31</v>
      </c>
      <c r="D77" s="13" t="s">
        <v>23</v>
      </c>
      <c r="E77" s="13" t="s">
        <v>2</v>
      </c>
      <c r="F77" s="13" t="s">
        <v>24</v>
      </c>
      <c r="G77" s="14" t="n">
        <v>41800</v>
      </c>
      <c r="H77" s="14" t="n">
        <v>41805</v>
      </c>
      <c r="I77" s="12" t="n">
        <v>5</v>
      </c>
      <c r="J77" s="14" t="n">
        <v>41799</v>
      </c>
    </row>
    <row r="78" customFormat="false" ht="15" hidden="false" customHeight="true" outlineLevel="0" collapsed="false">
      <c r="A78" s="9" t="n">
        <v>108</v>
      </c>
      <c r="B78" s="9" t="n">
        <v>15</v>
      </c>
      <c r="C78" s="10" t="s">
        <v>34</v>
      </c>
      <c r="D78" s="10" t="s">
        <v>30</v>
      </c>
      <c r="E78" s="10" t="s">
        <v>2</v>
      </c>
      <c r="F78" s="10" t="s">
        <v>24</v>
      </c>
      <c r="G78" s="11" t="n">
        <v>41800</v>
      </c>
      <c r="H78" s="11" t="n">
        <v>41805</v>
      </c>
      <c r="I78" s="9" t="n">
        <v>5</v>
      </c>
      <c r="J78" s="11" t="n">
        <v>41799</v>
      </c>
    </row>
    <row r="79" customFormat="false" ht="15" hidden="false" customHeight="true" outlineLevel="0" collapsed="false">
      <c r="A79" s="12" t="n">
        <v>89</v>
      </c>
      <c r="B79" s="12" t="n">
        <v>30</v>
      </c>
      <c r="C79" s="13" t="s">
        <v>25</v>
      </c>
      <c r="D79" s="13" t="s">
        <v>23</v>
      </c>
      <c r="E79" s="13" t="s">
        <v>2</v>
      </c>
      <c r="F79" s="13" t="s">
        <v>24</v>
      </c>
      <c r="G79" s="14" t="n">
        <v>41800</v>
      </c>
      <c r="H79" s="14" t="n">
        <v>41805</v>
      </c>
      <c r="I79" s="12" t="n">
        <v>5</v>
      </c>
      <c r="J79" s="14" t="n">
        <v>41799</v>
      </c>
    </row>
    <row r="80" customFormat="false" ht="15" hidden="false" customHeight="true" outlineLevel="0" collapsed="false">
      <c r="A80" s="9" t="n">
        <v>104</v>
      </c>
      <c r="B80" s="9" t="n">
        <v>30</v>
      </c>
      <c r="C80" s="10" t="s">
        <v>25</v>
      </c>
      <c r="D80" s="10" t="s">
        <v>30</v>
      </c>
      <c r="E80" s="10" t="s">
        <v>2</v>
      </c>
      <c r="F80" s="10" t="s">
        <v>24</v>
      </c>
      <c r="G80" s="11" t="n">
        <v>41800</v>
      </c>
      <c r="H80" s="11" t="n">
        <v>41805</v>
      </c>
      <c r="I80" s="9" t="n">
        <v>5</v>
      </c>
      <c r="J80" s="11" t="n">
        <v>41799</v>
      </c>
    </row>
    <row r="81" customFormat="false" ht="15" hidden="false" customHeight="true" outlineLevel="0" collapsed="false">
      <c r="A81" s="12" t="n">
        <v>116</v>
      </c>
      <c r="B81" s="12" t="n">
        <v>35</v>
      </c>
      <c r="C81" s="13" t="s">
        <v>25</v>
      </c>
      <c r="D81" s="13" t="s">
        <v>30</v>
      </c>
      <c r="E81" s="13" t="s">
        <v>2</v>
      </c>
      <c r="F81" s="13" t="s">
        <v>24</v>
      </c>
      <c r="G81" s="14" t="n">
        <v>41801</v>
      </c>
      <c r="H81" s="14" t="n">
        <v>41806</v>
      </c>
      <c r="I81" s="12" t="n">
        <v>5</v>
      </c>
      <c r="J81" s="14" t="n">
        <v>41799</v>
      </c>
    </row>
    <row r="82" customFormat="false" ht="15" hidden="false" customHeight="true" outlineLevel="0" collapsed="false">
      <c r="A82" s="9" t="n">
        <v>125</v>
      </c>
      <c r="B82" s="9" t="n">
        <v>45</v>
      </c>
      <c r="C82" s="10" t="s">
        <v>26</v>
      </c>
      <c r="D82" s="10" t="s">
        <v>30</v>
      </c>
      <c r="E82" s="10" t="s">
        <v>2</v>
      </c>
      <c r="F82" s="10" t="s">
        <v>24</v>
      </c>
      <c r="G82" s="11" t="n">
        <v>41802</v>
      </c>
      <c r="H82" s="11" t="n">
        <v>41809</v>
      </c>
      <c r="I82" s="9" t="n">
        <v>7</v>
      </c>
      <c r="J82" s="11" t="n">
        <v>41799</v>
      </c>
    </row>
    <row r="83" customFormat="false" ht="15" hidden="false" customHeight="true" outlineLevel="0" collapsed="false">
      <c r="A83" s="12" t="n">
        <v>121</v>
      </c>
      <c r="B83" s="12" t="n">
        <v>14</v>
      </c>
      <c r="C83" s="13" t="s">
        <v>34</v>
      </c>
      <c r="D83" s="13" t="s">
        <v>30</v>
      </c>
      <c r="E83" s="13" t="s">
        <v>2</v>
      </c>
      <c r="F83" s="13" t="s">
        <v>24</v>
      </c>
      <c r="G83" s="14" t="n">
        <v>41802</v>
      </c>
      <c r="H83" s="14" t="n">
        <v>41807</v>
      </c>
      <c r="I83" s="12" t="n">
        <v>5</v>
      </c>
      <c r="J83" s="14" t="n">
        <v>41799</v>
      </c>
    </row>
    <row r="84" customFormat="false" ht="15" hidden="false" customHeight="true" outlineLevel="0" collapsed="false">
      <c r="A84" s="9" t="n">
        <v>124</v>
      </c>
      <c r="B84" s="9" t="n">
        <v>32</v>
      </c>
      <c r="C84" s="10" t="s">
        <v>25</v>
      </c>
      <c r="D84" s="10" t="s">
        <v>23</v>
      </c>
      <c r="E84" s="10" t="s">
        <v>2</v>
      </c>
      <c r="F84" s="10" t="s">
        <v>24</v>
      </c>
      <c r="G84" s="11" t="n">
        <v>41802</v>
      </c>
      <c r="H84" s="11" t="n">
        <v>41807</v>
      </c>
      <c r="I84" s="9" t="n">
        <v>5</v>
      </c>
      <c r="J84" s="11" t="n">
        <v>41799</v>
      </c>
    </row>
    <row r="85" customFormat="false" ht="15" hidden="false" customHeight="true" outlineLevel="0" collapsed="false">
      <c r="A85" s="12" t="n">
        <v>126</v>
      </c>
      <c r="B85" s="12" t="n">
        <v>30</v>
      </c>
      <c r="C85" s="13" t="s">
        <v>25</v>
      </c>
      <c r="D85" s="13" t="s">
        <v>23</v>
      </c>
      <c r="E85" s="13" t="s">
        <v>2</v>
      </c>
      <c r="F85" s="13" t="s">
        <v>24</v>
      </c>
      <c r="G85" s="14" t="n">
        <v>41802</v>
      </c>
      <c r="H85" s="14" t="n">
        <v>41809</v>
      </c>
      <c r="I85" s="12" t="n">
        <v>7</v>
      </c>
      <c r="J85" s="14" t="n">
        <v>41799</v>
      </c>
    </row>
    <row r="86" customFormat="false" ht="15" hidden="false" customHeight="true" outlineLevel="0" collapsed="false">
      <c r="A86" s="9" t="n">
        <v>120</v>
      </c>
      <c r="B86" s="9" t="n">
        <v>48</v>
      </c>
      <c r="C86" s="10" t="s">
        <v>26</v>
      </c>
      <c r="D86" s="10" t="s">
        <v>30</v>
      </c>
      <c r="E86" s="10" t="s">
        <v>2</v>
      </c>
      <c r="F86" s="10" t="s">
        <v>24</v>
      </c>
      <c r="G86" s="11" t="n">
        <v>41802</v>
      </c>
      <c r="H86" s="11" t="n">
        <v>41807</v>
      </c>
      <c r="I86" s="9" t="n">
        <v>5</v>
      </c>
      <c r="J86" s="11" t="n">
        <v>41799</v>
      </c>
    </row>
    <row r="87" customFormat="false" ht="15" hidden="false" customHeight="true" outlineLevel="0" collapsed="false">
      <c r="A87" s="12" t="n">
        <v>122</v>
      </c>
      <c r="B87" s="12" t="n">
        <v>60</v>
      </c>
      <c r="C87" s="13" t="s">
        <v>32</v>
      </c>
      <c r="D87" s="13" t="s">
        <v>23</v>
      </c>
      <c r="E87" s="13" t="s">
        <v>2</v>
      </c>
      <c r="F87" s="13" t="s">
        <v>24</v>
      </c>
      <c r="G87" s="14" t="n">
        <v>41802</v>
      </c>
      <c r="H87" s="14" t="n">
        <v>41807</v>
      </c>
      <c r="I87" s="12" t="n">
        <v>5</v>
      </c>
      <c r="J87" s="14" t="n">
        <v>41799</v>
      </c>
    </row>
    <row r="88" customFormat="false" ht="15" hidden="false" customHeight="true" outlineLevel="0" collapsed="false">
      <c r="A88" s="9" t="n">
        <v>118</v>
      </c>
      <c r="B88" s="9" t="n">
        <v>40</v>
      </c>
      <c r="C88" s="10" t="s">
        <v>25</v>
      </c>
      <c r="D88" s="10" t="s">
        <v>30</v>
      </c>
      <c r="E88" s="10" t="s">
        <v>2</v>
      </c>
      <c r="F88" s="10" t="s">
        <v>24</v>
      </c>
      <c r="G88" s="11" t="n">
        <v>41802</v>
      </c>
      <c r="H88" s="11" t="n">
        <v>41807</v>
      </c>
      <c r="I88" s="9" t="n">
        <v>5</v>
      </c>
      <c r="J88" s="11" t="n">
        <v>41799</v>
      </c>
    </row>
    <row r="89" customFormat="false" ht="15" hidden="false" customHeight="true" outlineLevel="0" collapsed="false">
      <c r="A89" s="12" t="n">
        <v>138</v>
      </c>
      <c r="B89" s="12" t="n">
        <v>60</v>
      </c>
      <c r="C89" s="13" t="s">
        <v>32</v>
      </c>
      <c r="D89" s="13" t="s">
        <v>23</v>
      </c>
      <c r="E89" s="13" t="s">
        <v>2</v>
      </c>
      <c r="F89" s="13" t="s">
        <v>24</v>
      </c>
      <c r="G89" s="14" t="n">
        <v>41803</v>
      </c>
      <c r="H89" s="14" t="n">
        <v>41808</v>
      </c>
      <c r="I89" s="12" t="n">
        <v>5</v>
      </c>
      <c r="J89" s="14" t="n">
        <v>41799</v>
      </c>
    </row>
    <row r="90" customFormat="false" ht="15" hidden="false" customHeight="true" outlineLevel="0" collapsed="false">
      <c r="A90" s="9" t="n">
        <v>129</v>
      </c>
      <c r="B90" s="9" t="n">
        <v>41</v>
      </c>
      <c r="C90" s="10" t="s">
        <v>25</v>
      </c>
      <c r="D90" s="10" t="s">
        <v>30</v>
      </c>
      <c r="E90" s="10" t="s">
        <v>2</v>
      </c>
      <c r="F90" s="10" t="s">
        <v>24</v>
      </c>
      <c r="G90" s="11" t="n">
        <v>41803</v>
      </c>
      <c r="H90" s="11" t="n">
        <v>41808</v>
      </c>
      <c r="I90" s="9" t="n">
        <v>5</v>
      </c>
      <c r="J90" s="11" t="n">
        <v>41799</v>
      </c>
    </row>
    <row r="91" customFormat="false" ht="15" hidden="false" customHeight="true" outlineLevel="0" collapsed="false">
      <c r="A91" s="12" t="n">
        <v>145</v>
      </c>
      <c r="B91" s="12" t="n">
        <v>17</v>
      </c>
      <c r="C91" s="13" t="s">
        <v>34</v>
      </c>
      <c r="D91" s="13" t="s">
        <v>23</v>
      </c>
      <c r="E91" s="13" t="s">
        <v>2</v>
      </c>
      <c r="F91" s="13" t="s">
        <v>35</v>
      </c>
      <c r="G91" s="14" t="n">
        <v>41803</v>
      </c>
      <c r="H91" s="14" t="n">
        <v>41811</v>
      </c>
      <c r="I91" s="12" t="n">
        <v>8</v>
      </c>
      <c r="J91" s="14" t="n">
        <v>41799</v>
      </c>
    </row>
    <row r="92" customFormat="false" ht="15" hidden="false" customHeight="true" outlineLevel="0" collapsed="false">
      <c r="A92" s="9" t="n">
        <v>139</v>
      </c>
      <c r="B92" s="9" t="n">
        <v>25</v>
      </c>
      <c r="C92" s="10" t="s">
        <v>22</v>
      </c>
      <c r="D92" s="10" t="s">
        <v>23</v>
      </c>
      <c r="E92" s="10" t="s">
        <v>2</v>
      </c>
      <c r="F92" s="10" t="s">
        <v>24</v>
      </c>
      <c r="G92" s="11" t="n">
        <v>41803</v>
      </c>
      <c r="H92" s="11" t="n">
        <v>41808</v>
      </c>
      <c r="I92" s="9" t="n">
        <v>5</v>
      </c>
      <c r="J92" s="11" t="n">
        <v>41799</v>
      </c>
    </row>
    <row r="93" customFormat="false" ht="15" hidden="false" customHeight="true" outlineLevel="0" collapsed="false">
      <c r="A93" s="12" t="n">
        <v>132</v>
      </c>
      <c r="B93" s="12" t="n">
        <v>30</v>
      </c>
      <c r="C93" s="13" t="s">
        <v>25</v>
      </c>
      <c r="D93" s="13" t="s">
        <v>23</v>
      </c>
      <c r="E93" s="13" t="s">
        <v>2</v>
      </c>
      <c r="F93" s="13" t="s">
        <v>24</v>
      </c>
      <c r="G93" s="14" t="n">
        <v>41803</v>
      </c>
      <c r="H93" s="14" t="n">
        <v>41808</v>
      </c>
      <c r="I93" s="12" t="n">
        <v>5</v>
      </c>
      <c r="J93" s="14" t="n">
        <v>41799</v>
      </c>
    </row>
    <row r="94" customFormat="false" ht="15" hidden="false" customHeight="true" outlineLevel="0" collapsed="false">
      <c r="A94" s="9" t="n">
        <v>141</v>
      </c>
      <c r="B94" s="9" t="n">
        <v>35</v>
      </c>
      <c r="C94" s="10" t="s">
        <v>25</v>
      </c>
      <c r="D94" s="10" t="s">
        <v>30</v>
      </c>
      <c r="E94" s="10" t="s">
        <v>2</v>
      </c>
      <c r="F94" s="10" t="s">
        <v>24</v>
      </c>
      <c r="G94" s="11" t="n">
        <v>41803</v>
      </c>
      <c r="H94" s="11" t="n">
        <v>41808</v>
      </c>
      <c r="I94" s="9" t="n">
        <v>5</v>
      </c>
      <c r="J94" s="11" t="n">
        <v>41799</v>
      </c>
    </row>
    <row r="95" customFormat="false" ht="15" hidden="false" customHeight="true" outlineLevel="0" collapsed="false">
      <c r="A95" s="12" t="n">
        <v>134</v>
      </c>
      <c r="B95" s="12" t="n">
        <v>4</v>
      </c>
      <c r="C95" s="13" t="s">
        <v>31</v>
      </c>
      <c r="D95" s="13" t="s">
        <v>30</v>
      </c>
      <c r="E95" s="13" t="s">
        <v>2</v>
      </c>
      <c r="F95" s="13" t="s">
        <v>24</v>
      </c>
      <c r="G95" s="14" t="n">
        <v>41803</v>
      </c>
      <c r="H95" s="14" t="n">
        <v>41808</v>
      </c>
      <c r="I95" s="12" t="n">
        <v>5</v>
      </c>
      <c r="J95" s="14" t="n">
        <v>41799</v>
      </c>
    </row>
    <row r="96" customFormat="false" ht="15" hidden="false" customHeight="true" outlineLevel="0" collapsed="false">
      <c r="A96" s="9" t="n">
        <v>140</v>
      </c>
      <c r="B96" s="9" t="n">
        <v>70</v>
      </c>
      <c r="C96" s="10" t="s">
        <v>32</v>
      </c>
      <c r="D96" s="10" t="s">
        <v>23</v>
      </c>
      <c r="E96" s="10" t="s">
        <v>2</v>
      </c>
      <c r="F96" s="10" t="s">
        <v>24</v>
      </c>
      <c r="G96" s="11" t="n">
        <v>41803</v>
      </c>
      <c r="H96" s="11" t="n">
        <v>41808</v>
      </c>
      <c r="I96" s="9" t="n">
        <v>5</v>
      </c>
      <c r="J96" s="11" t="n">
        <v>41799</v>
      </c>
    </row>
    <row r="97" customFormat="false" ht="15" hidden="false" customHeight="true" outlineLevel="0" collapsed="false">
      <c r="A97" s="12" t="n">
        <v>135</v>
      </c>
      <c r="B97" s="12" t="n">
        <v>45</v>
      </c>
      <c r="C97" s="13" t="s">
        <v>26</v>
      </c>
      <c r="D97" s="13" t="s">
        <v>23</v>
      </c>
      <c r="E97" s="13" t="s">
        <v>2</v>
      </c>
      <c r="F97" s="13" t="s">
        <v>24</v>
      </c>
      <c r="G97" s="14" t="n">
        <v>41803</v>
      </c>
      <c r="H97" s="14" t="n">
        <v>41808</v>
      </c>
      <c r="I97" s="12" t="n">
        <v>5</v>
      </c>
      <c r="J97" s="14" t="n">
        <v>41799</v>
      </c>
    </row>
    <row r="98" customFormat="false" ht="15" hidden="false" customHeight="true" outlineLevel="0" collapsed="false">
      <c r="A98" s="9" t="n">
        <v>137</v>
      </c>
      <c r="B98" s="9" t="n">
        <v>9</v>
      </c>
      <c r="C98" s="10" t="s">
        <v>34</v>
      </c>
      <c r="D98" s="10" t="s">
        <v>23</v>
      </c>
      <c r="E98" s="10" t="s">
        <v>2</v>
      </c>
      <c r="F98" s="10" t="s">
        <v>24</v>
      </c>
      <c r="G98" s="11" t="n">
        <v>41803</v>
      </c>
      <c r="H98" s="11" t="n">
        <v>41808</v>
      </c>
      <c r="I98" s="9" t="n">
        <v>5</v>
      </c>
      <c r="J98" s="11" t="n">
        <v>41799</v>
      </c>
    </row>
    <row r="99" customFormat="false" ht="15" hidden="false" customHeight="true" outlineLevel="0" collapsed="false">
      <c r="A99" s="12" t="n">
        <v>128</v>
      </c>
      <c r="B99" s="12" t="n">
        <v>60</v>
      </c>
      <c r="C99" s="13" t="s">
        <v>32</v>
      </c>
      <c r="D99" s="13" t="s">
        <v>30</v>
      </c>
      <c r="E99" s="13" t="s">
        <v>2</v>
      </c>
      <c r="F99" s="13" t="s">
        <v>24</v>
      </c>
      <c r="G99" s="14" t="n">
        <v>41803</v>
      </c>
      <c r="H99" s="14" t="n">
        <v>41808</v>
      </c>
      <c r="I99" s="12" t="n">
        <v>5</v>
      </c>
      <c r="J99" s="14" t="n">
        <v>41799</v>
      </c>
    </row>
    <row r="100" customFormat="false" ht="15" hidden="false" customHeight="true" outlineLevel="0" collapsed="false">
      <c r="A100" s="9" t="n">
        <v>130</v>
      </c>
      <c r="B100" s="9" t="n">
        <v>50</v>
      </c>
      <c r="C100" s="10" t="s">
        <v>26</v>
      </c>
      <c r="D100" s="10" t="s">
        <v>30</v>
      </c>
      <c r="E100" s="10" t="s">
        <v>2</v>
      </c>
      <c r="F100" s="10" t="s">
        <v>24</v>
      </c>
      <c r="G100" s="11" t="n">
        <v>41803</v>
      </c>
      <c r="H100" s="11" t="n">
        <v>41808</v>
      </c>
      <c r="I100" s="9" t="n">
        <v>5</v>
      </c>
      <c r="J100" s="11" t="n">
        <v>41799</v>
      </c>
    </row>
    <row r="101" customFormat="false" ht="15" hidden="false" customHeight="true" outlineLevel="0" collapsed="false">
      <c r="A101" s="12" t="n">
        <v>146</v>
      </c>
      <c r="B101" s="12" t="n">
        <v>48</v>
      </c>
      <c r="C101" s="13" t="s">
        <v>26</v>
      </c>
      <c r="D101" s="13" t="s">
        <v>23</v>
      </c>
      <c r="E101" s="13" t="s">
        <v>2</v>
      </c>
      <c r="F101" s="13" t="s">
        <v>24</v>
      </c>
      <c r="G101" s="14" t="n">
        <v>41803</v>
      </c>
      <c r="H101" s="14" t="n">
        <v>41812</v>
      </c>
      <c r="I101" s="12" t="n">
        <v>9</v>
      </c>
      <c r="J101" s="14" t="n">
        <v>41799</v>
      </c>
    </row>
    <row r="102" customFormat="false" ht="15" hidden="false" customHeight="true" outlineLevel="0" collapsed="false">
      <c r="A102" s="9" t="n">
        <v>143</v>
      </c>
      <c r="B102" s="9" t="n">
        <v>16</v>
      </c>
      <c r="C102" s="10" t="s">
        <v>34</v>
      </c>
      <c r="D102" s="10" t="s">
        <v>30</v>
      </c>
      <c r="E102" s="10" t="s">
        <v>2</v>
      </c>
      <c r="F102" s="10" t="s">
        <v>24</v>
      </c>
      <c r="G102" s="11" t="n">
        <v>41803</v>
      </c>
      <c r="H102" s="11" t="n">
        <v>41809</v>
      </c>
      <c r="I102" s="9" t="n">
        <v>6</v>
      </c>
      <c r="J102" s="11" t="n">
        <v>41799</v>
      </c>
    </row>
    <row r="103" customFormat="false" ht="15" hidden="false" customHeight="true" outlineLevel="0" collapsed="false">
      <c r="A103" s="12" t="n">
        <v>144</v>
      </c>
      <c r="B103" s="12" t="n">
        <v>12</v>
      </c>
      <c r="C103" s="13" t="s">
        <v>34</v>
      </c>
      <c r="D103" s="13" t="s">
        <v>30</v>
      </c>
      <c r="E103" s="13" t="s">
        <v>2</v>
      </c>
      <c r="F103" s="13" t="s">
        <v>35</v>
      </c>
      <c r="G103" s="14" t="n">
        <v>41803</v>
      </c>
      <c r="H103" s="14" t="n">
        <v>41811</v>
      </c>
      <c r="I103" s="12" t="n">
        <v>8</v>
      </c>
      <c r="J103" s="14" t="n">
        <v>41799</v>
      </c>
    </row>
    <row r="104" customFormat="false" ht="15" hidden="false" customHeight="true" outlineLevel="0" collapsed="false">
      <c r="A104" s="9" t="n">
        <v>159</v>
      </c>
      <c r="B104" s="9" t="n">
        <v>38</v>
      </c>
      <c r="C104" s="10" t="s">
        <v>25</v>
      </c>
      <c r="D104" s="10" t="s">
        <v>23</v>
      </c>
      <c r="E104" s="10" t="s">
        <v>2</v>
      </c>
      <c r="F104" s="10" t="s">
        <v>24</v>
      </c>
      <c r="G104" s="11" t="n">
        <v>41804</v>
      </c>
      <c r="H104" s="11" t="n">
        <v>41812</v>
      </c>
      <c r="I104" s="9" t="n">
        <v>8</v>
      </c>
      <c r="J104" s="11" t="n">
        <v>41799</v>
      </c>
    </row>
    <row r="105" customFormat="false" ht="15" hidden="false" customHeight="true" outlineLevel="0" collapsed="false">
      <c r="A105" s="12" t="n">
        <v>163</v>
      </c>
      <c r="B105" s="12" t="n">
        <v>35</v>
      </c>
      <c r="C105" s="13" t="s">
        <v>25</v>
      </c>
      <c r="D105" s="13" t="s">
        <v>30</v>
      </c>
      <c r="E105" s="13" t="s">
        <v>2</v>
      </c>
      <c r="F105" s="13" t="s">
        <v>24</v>
      </c>
      <c r="G105" s="14" t="n">
        <v>41804</v>
      </c>
      <c r="H105" s="14" t="n">
        <v>41814</v>
      </c>
      <c r="I105" s="12" t="n">
        <v>10</v>
      </c>
      <c r="J105" s="14" t="n">
        <v>41799</v>
      </c>
    </row>
    <row r="106" customFormat="false" ht="15" hidden="false" customHeight="true" outlineLevel="0" collapsed="false">
      <c r="A106" s="9" t="n">
        <v>160</v>
      </c>
      <c r="B106" s="9" t="n">
        <v>70</v>
      </c>
      <c r="C106" s="10" t="s">
        <v>32</v>
      </c>
      <c r="D106" s="10" t="s">
        <v>30</v>
      </c>
      <c r="E106" s="10" t="s">
        <v>2</v>
      </c>
      <c r="F106" s="10" t="s">
        <v>24</v>
      </c>
      <c r="G106" s="11" t="n">
        <v>41804</v>
      </c>
      <c r="H106" s="11" t="n">
        <v>41813</v>
      </c>
      <c r="I106" s="9" t="n">
        <v>9</v>
      </c>
      <c r="J106" s="11" t="n">
        <v>41799</v>
      </c>
    </row>
    <row r="107" customFormat="false" ht="15" hidden="false" customHeight="true" outlineLevel="0" collapsed="false">
      <c r="A107" s="12" t="n">
        <v>150</v>
      </c>
      <c r="B107" s="12" t="n">
        <v>33</v>
      </c>
      <c r="C107" s="13" t="s">
        <v>25</v>
      </c>
      <c r="D107" s="13" t="s">
        <v>30</v>
      </c>
      <c r="E107" s="13" t="s">
        <v>2</v>
      </c>
      <c r="F107" s="13" t="s">
        <v>35</v>
      </c>
      <c r="G107" s="14" t="n">
        <v>41804</v>
      </c>
      <c r="H107" s="14" t="n">
        <v>41808</v>
      </c>
      <c r="I107" s="12" t="n">
        <v>4</v>
      </c>
      <c r="J107" s="14" t="n">
        <v>41799</v>
      </c>
    </row>
    <row r="108" customFormat="false" ht="15" hidden="false" customHeight="true" outlineLevel="0" collapsed="false">
      <c r="A108" s="9" t="n">
        <v>152</v>
      </c>
      <c r="B108" s="9" t="n">
        <v>27</v>
      </c>
      <c r="C108" s="10" t="s">
        <v>22</v>
      </c>
      <c r="D108" s="10" t="s">
        <v>23</v>
      </c>
      <c r="E108" s="10" t="s">
        <v>2</v>
      </c>
      <c r="F108" s="10" t="s">
        <v>24</v>
      </c>
      <c r="G108" s="11" t="n">
        <v>41804</v>
      </c>
      <c r="H108" s="11" t="n">
        <v>41809</v>
      </c>
      <c r="I108" s="9" t="n">
        <v>5</v>
      </c>
      <c r="J108" s="11" t="n">
        <v>41799</v>
      </c>
    </row>
    <row r="109" customFormat="false" ht="15" hidden="false" customHeight="true" outlineLevel="0" collapsed="false">
      <c r="A109" s="12" t="n">
        <v>156</v>
      </c>
      <c r="B109" s="12" t="n">
        <v>30</v>
      </c>
      <c r="C109" s="13" t="s">
        <v>25</v>
      </c>
      <c r="D109" s="13" t="s">
        <v>30</v>
      </c>
      <c r="E109" s="13" t="s">
        <v>2</v>
      </c>
      <c r="F109" s="13" t="s">
        <v>24</v>
      </c>
      <c r="G109" s="14" t="n">
        <v>41804</v>
      </c>
      <c r="H109" s="14" t="n">
        <v>41809</v>
      </c>
      <c r="I109" s="12" t="n">
        <v>5</v>
      </c>
      <c r="J109" s="14" t="n">
        <v>41799</v>
      </c>
    </row>
    <row r="110" customFormat="false" ht="15" hidden="false" customHeight="true" outlineLevel="0" collapsed="false">
      <c r="A110" s="9" t="n">
        <v>157</v>
      </c>
      <c r="B110" s="9" t="n">
        <v>40</v>
      </c>
      <c r="C110" s="10" t="s">
        <v>25</v>
      </c>
      <c r="D110" s="10" t="s">
        <v>23</v>
      </c>
      <c r="E110" s="10" t="s">
        <v>2</v>
      </c>
      <c r="F110" s="10" t="s">
        <v>24</v>
      </c>
      <c r="G110" s="11" t="n">
        <v>41804</v>
      </c>
      <c r="H110" s="11" t="n">
        <v>41809</v>
      </c>
      <c r="I110" s="9" t="n">
        <v>5</v>
      </c>
      <c r="J110" s="11" t="n">
        <v>41799</v>
      </c>
    </row>
    <row r="111" customFormat="false" ht="15" hidden="false" customHeight="true" outlineLevel="0" collapsed="false">
      <c r="A111" s="12" t="n">
        <v>149</v>
      </c>
      <c r="B111" s="12"/>
      <c r="C111" s="13" t="s">
        <v>29</v>
      </c>
      <c r="D111" s="13" t="s">
        <v>30</v>
      </c>
      <c r="E111" s="13" t="s">
        <v>2</v>
      </c>
      <c r="F111" s="13" t="s">
        <v>35</v>
      </c>
      <c r="G111" s="14" t="n">
        <v>41804</v>
      </c>
      <c r="H111" s="14" t="n">
        <v>41808</v>
      </c>
      <c r="I111" s="12" t="n">
        <v>4</v>
      </c>
      <c r="J111" s="14" t="n">
        <v>41799</v>
      </c>
    </row>
    <row r="112" customFormat="false" ht="15" hidden="false" customHeight="true" outlineLevel="0" collapsed="false">
      <c r="A112" s="9" t="n">
        <v>164</v>
      </c>
      <c r="B112" s="9" t="n">
        <v>36</v>
      </c>
      <c r="C112" s="10" t="s">
        <v>25</v>
      </c>
      <c r="D112" s="10" t="s">
        <v>23</v>
      </c>
      <c r="E112" s="10" t="s">
        <v>2</v>
      </c>
      <c r="F112" s="10" t="s">
        <v>35</v>
      </c>
      <c r="G112" s="11" t="n">
        <v>41805</v>
      </c>
      <c r="H112" s="11" t="n">
        <v>41809</v>
      </c>
      <c r="I112" s="9" t="n">
        <v>4</v>
      </c>
      <c r="J112" s="11" t="n">
        <v>41799</v>
      </c>
    </row>
    <row r="113" customFormat="false" ht="15" hidden="false" customHeight="true" outlineLevel="0" collapsed="false">
      <c r="A113" s="12" t="n">
        <v>167</v>
      </c>
      <c r="B113" s="12" t="n">
        <v>55</v>
      </c>
      <c r="C113" s="13" t="s">
        <v>26</v>
      </c>
      <c r="D113" s="13" t="s">
        <v>30</v>
      </c>
      <c r="E113" s="13" t="s">
        <v>2</v>
      </c>
      <c r="F113" s="13" t="s">
        <v>35</v>
      </c>
      <c r="G113" s="14" t="n">
        <v>41805</v>
      </c>
      <c r="H113" s="14" t="n">
        <v>41811</v>
      </c>
      <c r="I113" s="12" t="n">
        <v>6</v>
      </c>
      <c r="J113" s="14" t="n">
        <v>41799</v>
      </c>
    </row>
    <row r="114" customFormat="false" ht="15" hidden="false" customHeight="true" outlineLevel="0" collapsed="false">
      <c r="A114" s="9" t="n">
        <v>165</v>
      </c>
      <c r="B114" s="9" t="n">
        <v>17</v>
      </c>
      <c r="C114" s="10" t="s">
        <v>34</v>
      </c>
      <c r="D114" s="10" t="s">
        <v>30</v>
      </c>
      <c r="E114" s="10" t="s">
        <v>2</v>
      </c>
      <c r="F114" s="10" t="s">
        <v>24</v>
      </c>
      <c r="G114" s="11" t="n">
        <v>41805</v>
      </c>
      <c r="H114" s="11" t="n">
        <v>41809</v>
      </c>
      <c r="I114" s="9" t="n">
        <v>4</v>
      </c>
      <c r="J114" s="11" t="n">
        <v>41799</v>
      </c>
    </row>
    <row r="115" customFormat="false" ht="15" hidden="false" customHeight="true" outlineLevel="0" collapsed="false">
      <c r="A115" s="12" t="n">
        <v>168</v>
      </c>
      <c r="B115" s="12" t="n">
        <v>57</v>
      </c>
      <c r="C115" s="13" t="s">
        <v>26</v>
      </c>
      <c r="D115" s="13" t="s">
        <v>23</v>
      </c>
      <c r="E115" s="13" t="s">
        <v>2</v>
      </c>
      <c r="F115" s="13" t="s">
        <v>24</v>
      </c>
      <c r="G115" s="14" t="n">
        <v>41806</v>
      </c>
      <c r="H115" s="14" t="n">
        <v>41811</v>
      </c>
      <c r="I115" s="12" t="n">
        <v>5</v>
      </c>
      <c r="J115" s="14" t="n">
        <v>41806</v>
      </c>
    </row>
    <row r="116" customFormat="false" ht="15" hidden="false" customHeight="true" outlineLevel="0" collapsed="false">
      <c r="A116" s="9" t="n">
        <v>170</v>
      </c>
      <c r="B116" s="9" t="n">
        <v>26</v>
      </c>
      <c r="C116" s="10" t="s">
        <v>22</v>
      </c>
      <c r="D116" s="10" t="s">
        <v>30</v>
      </c>
      <c r="E116" s="10" t="s">
        <v>2</v>
      </c>
      <c r="F116" s="10" t="s">
        <v>24</v>
      </c>
      <c r="G116" s="11" t="n">
        <v>41807</v>
      </c>
      <c r="H116" s="11" t="n">
        <v>41812</v>
      </c>
      <c r="I116" s="9" t="n">
        <v>5</v>
      </c>
      <c r="J116" s="11" t="n">
        <v>41806</v>
      </c>
    </row>
    <row r="117" customFormat="false" ht="15" hidden="false" customHeight="true" outlineLevel="0" collapsed="false">
      <c r="A117" s="12" t="n">
        <v>171</v>
      </c>
      <c r="B117" s="12" t="n">
        <v>28</v>
      </c>
      <c r="C117" s="13" t="s">
        <v>22</v>
      </c>
      <c r="D117" s="13" t="s">
        <v>30</v>
      </c>
      <c r="E117" s="13" t="s">
        <v>2</v>
      </c>
      <c r="F117" s="13" t="s">
        <v>24</v>
      </c>
      <c r="G117" s="14" t="n">
        <v>41807</v>
      </c>
      <c r="H117" s="14" t="n">
        <v>41812</v>
      </c>
      <c r="I117" s="12" t="n">
        <v>5</v>
      </c>
      <c r="J117" s="14" t="n">
        <v>41806</v>
      </c>
    </row>
    <row r="118" customFormat="false" ht="15" hidden="false" customHeight="true" outlineLevel="0" collapsed="false">
      <c r="A118" s="9" t="n">
        <v>169</v>
      </c>
      <c r="B118" s="9" t="n">
        <v>25</v>
      </c>
      <c r="C118" s="10" t="s">
        <v>22</v>
      </c>
      <c r="D118" s="10" t="s">
        <v>23</v>
      </c>
      <c r="E118" s="10" t="s">
        <v>2</v>
      </c>
      <c r="F118" s="10" t="s">
        <v>35</v>
      </c>
      <c r="G118" s="11" t="n">
        <v>41807</v>
      </c>
      <c r="H118" s="11" t="n">
        <v>41811</v>
      </c>
      <c r="I118" s="9" t="n">
        <v>4</v>
      </c>
      <c r="J118" s="11" t="n">
        <v>41806</v>
      </c>
    </row>
    <row r="119" customFormat="false" ht="15" hidden="false" customHeight="true" outlineLevel="0" collapsed="false">
      <c r="A119" s="12" t="n">
        <v>172</v>
      </c>
      <c r="B119" s="12" t="n">
        <v>36</v>
      </c>
      <c r="C119" s="13" t="s">
        <v>25</v>
      </c>
      <c r="D119" s="13" t="s">
        <v>23</v>
      </c>
      <c r="E119" s="13" t="s">
        <v>2</v>
      </c>
      <c r="F119" s="13" t="s">
        <v>24</v>
      </c>
      <c r="G119" s="14" t="n">
        <v>41807</v>
      </c>
      <c r="H119" s="14" t="n">
        <v>41813</v>
      </c>
      <c r="I119" s="12" t="n">
        <v>6</v>
      </c>
      <c r="J119" s="14" t="n">
        <v>41806</v>
      </c>
    </row>
    <row r="120" customFormat="false" ht="15" hidden="false" customHeight="true" outlineLevel="0" collapsed="false">
      <c r="A120" s="9" t="n">
        <v>179</v>
      </c>
      <c r="B120" s="9" t="n">
        <v>40</v>
      </c>
      <c r="C120" s="10" t="s">
        <v>25</v>
      </c>
      <c r="D120" s="10" t="s">
        <v>23</v>
      </c>
      <c r="E120" s="10" t="s">
        <v>2</v>
      </c>
      <c r="F120" s="10" t="s">
        <v>24</v>
      </c>
      <c r="G120" s="11" t="n">
        <v>41808</v>
      </c>
      <c r="H120" s="11" t="n">
        <v>41814</v>
      </c>
      <c r="I120" s="9" t="n">
        <v>6</v>
      </c>
      <c r="J120" s="11" t="n">
        <v>41806</v>
      </c>
    </row>
    <row r="121" customFormat="false" ht="15" hidden="false" customHeight="true" outlineLevel="0" collapsed="false">
      <c r="A121" s="12" t="n">
        <v>174</v>
      </c>
      <c r="B121" s="12" t="n">
        <v>80</v>
      </c>
      <c r="C121" s="13" t="s">
        <v>32</v>
      </c>
      <c r="D121" s="13" t="s">
        <v>23</v>
      </c>
      <c r="E121" s="13" t="s">
        <v>2</v>
      </c>
      <c r="F121" s="13" t="s">
        <v>24</v>
      </c>
      <c r="G121" s="14" t="n">
        <v>41808</v>
      </c>
      <c r="H121" s="14" t="n">
        <v>41812</v>
      </c>
      <c r="I121" s="12" t="n">
        <v>4</v>
      </c>
      <c r="J121" s="14" t="n">
        <v>41806</v>
      </c>
    </row>
    <row r="122" customFormat="false" ht="15" hidden="false" customHeight="true" outlineLevel="0" collapsed="false">
      <c r="A122" s="9" t="n">
        <v>176</v>
      </c>
      <c r="B122" s="9" t="n">
        <v>14</v>
      </c>
      <c r="C122" s="10" t="s">
        <v>34</v>
      </c>
      <c r="D122" s="10" t="s">
        <v>23</v>
      </c>
      <c r="E122" s="10" t="s">
        <v>2</v>
      </c>
      <c r="F122" s="10" t="s">
        <v>24</v>
      </c>
      <c r="G122" s="11" t="n">
        <v>41808</v>
      </c>
      <c r="H122" s="11" t="n">
        <v>41813</v>
      </c>
      <c r="I122" s="9" t="n">
        <v>5</v>
      </c>
      <c r="J122" s="11" t="n">
        <v>41806</v>
      </c>
    </row>
    <row r="123" customFormat="false" ht="15" hidden="false" customHeight="true" outlineLevel="0" collapsed="false">
      <c r="A123" s="12" t="n">
        <v>173</v>
      </c>
      <c r="B123" s="12" t="n">
        <v>21</v>
      </c>
      <c r="C123" s="13" t="s">
        <v>22</v>
      </c>
      <c r="D123" s="13" t="s">
        <v>30</v>
      </c>
      <c r="E123" s="13" t="s">
        <v>2</v>
      </c>
      <c r="F123" s="13" t="s">
        <v>24</v>
      </c>
      <c r="G123" s="14" t="n">
        <v>41808</v>
      </c>
      <c r="H123" s="14" t="n">
        <v>41812</v>
      </c>
      <c r="I123" s="12" t="n">
        <v>4</v>
      </c>
      <c r="J123" s="14" t="n">
        <v>41806</v>
      </c>
    </row>
    <row r="124" customFormat="false" ht="15" hidden="false" customHeight="true" outlineLevel="0" collapsed="false">
      <c r="A124" s="9" t="n">
        <v>178</v>
      </c>
      <c r="B124" s="9" t="n">
        <v>70</v>
      </c>
      <c r="C124" s="10" t="s">
        <v>32</v>
      </c>
      <c r="D124" s="10" t="s">
        <v>23</v>
      </c>
      <c r="E124" s="10" t="s">
        <v>2</v>
      </c>
      <c r="F124" s="10" t="s">
        <v>24</v>
      </c>
      <c r="G124" s="11" t="n">
        <v>41808</v>
      </c>
      <c r="H124" s="11" t="n">
        <v>41813</v>
      </c>
      <c r="I124" s="9" t="n">
        <v>5</v>
      </c>
      <c r="J124" s="11" t="n">
        <v>41806</v>
      </c>
    </row>
    <row r="125" customFormat="false" ht="15" hidden="false" customHeight="true" outlineLevel="0" collapsed="false">
      <c r="A125" s="12" t="n">
        <v>185</v>
      </c>
      <c r="B125" s="12" t="n">
        <v>54</v>
      </c>
      <c r="C125" s="13" t="s">
        <v>26</v>
      </c>
      <c r="D125" s="13" t="s">
        <v>23</v>
      </c>
      <c r="E125" s="13" t="s">
        <v>2</v>
      </c>
      <c r="F125" s="13" t="s">
        <v>24</v>
      </c>
      <c r="G125" s="14" t="n">
        <v>41809</v>
      </c>
      <c r="H125" s="14" t="n">
        <v>41813</v>
      </c>
      <c r="I125" s="12" t="n">
        <v>4</v>
      </c>
      <c r="J125" s="14" t="n">
        <v>41806</v>
      </c>
    </row>
    <row r="126" customFormat="false" ht="15" hidden="false" customHeight="true" outlineLevel="0" collapsed="false">
      <c r="A126" s="9" t="n">
        <v>190</v>
      </c>
      <c r="B126" s="9" t="n">
        <v>26</v>
      </c>
      <c r="C126" s="10" t="s">
        <v>22</v>
      </c>
      <c r="D126" s="10" t="s">
        <v>23</v>
      </c>
      <c r="E126" s="10" t="s">
        <v>2</v>
      </c>
      <c r="F126" s="10" t="s">
        <v>35</v>
      </c>
      <c r="G126" s="11" t="n">
        <v>41809</v>
      </c>
      <c r="H126" s="11" t="n">
        <v>41815</v>
      </c>
      <c r="I126" s="9" t="n">
        <v>6</v>
      </c>
      <c r="J126" s="11" t="n">
        <v>41806</v>
      </c>
    </row>
    <row r="127" customFormat="false" ht="15" hidden="false" customHeight="true" outlineLevel="0" collapsed="false">
      <c r="A127" s="12" t="n">
        <v>187</v>
      </c>
      <c r="B127" s="12"/>
      <c r="C127" s="13" t="s">
        <v>29</v>
      </c>
      <c r="D127" s="13" t="s">
        <v>23</v>
      </c>
      <c r="E127" s="13" t="s">
        <v>2</v>
      </c>
      <c r="F127" s="13" t="s">
        <v>24</v>
      </c>
      <c r="G127" s="14" t="n">
        <v>41809</v>
      </c>
      <c r="H127" s="14" t="n">
        <v>41814</v>
      </c>
      <c r="I127" s="12" t="n">
        <v>5</v>
      </c>
      <c r="J127" s="14" t="n">
        <v>41806</v>
      </c>
    </row>
    <row r="128" customFormat="false" ht="15" hidden="false" customHeight="true" outlineLevel="0" collapsed="false">
      <c r="A128" s="9" t="n">
        <v>186</v>
      </c>
      <c r="B128" s="9" t="n">
        <v>42</v>
      </c>
      <c r="C128" s="10" t="s">
        <v>25</v>
      </c>
      <c r="D128" s="10" t="s">
        <v>30</v>
      </c>
      <c r="E128" s="10" t="s">
        <v>2</v>
      </c>
      <c r="F128" s="10" t="s">
        <v>35</v>
      </c>
      <c r="G128" s="11" t="n">
        <v>41809</v>
      </c>
      <c r="H128" s="11" t="n">
        <v>41813</v>
      </c>
      <c r="I128" s="9" t="n">
        <v>4</v>
      </c>
      <c r="J128" s="11" t="n">
        <v>41806</v>
      </c>
    </row>
    <row r="129" customFormat="false" ht="15" hidden="false" customHeight="true" outlineLevel="0" collapsed="false">
      <c r="A129" s="12" t="n">
        <v>184</v>
      </c>
      <c r="B129" s="12" t="n">
        <v>20</v>
      </c>
      <c r="C129" s="13" t="s">
        <v>22</v>
      </c>
      <c r="D129" s="13" t="s">
        <v>23</v>
      </c>
      <c r="E129" s="13" t="s">
        <v>2</v>
      </c>
      <c r="F129" s="13" t="s">
        <v>35</v>
      </c>
      <c r="G129" s="14" t="n">
        <v>41809</v>
      </c>
      <c r="H129" s="14" t="n">
        <v>41811</v>
      </c>
      <c r="I129" s="12" t="n">
        <v>2</v>
      </c>
      <c r="J129" s="14" t="n">
        <v>41806</v>
      </c>
    </row>
    <row r="130" customFormat="false" ht="15" hidden="false" customHeight="true" outlineLevel="0" collapsed="false">
      <c r="A130" s="9" t="n">
        <v>183</v>
      </c>
      <c r="B130" s="9" t="n">
        <v>25</v>
      </c>
      <c r="C130" s="10" t="s">
        <v>22</v>
      </c>
      <c r="D130" s="10" t="s">
        <v>23</v>
      </c>
      <c r="E130" s="10" t="s">
        <v>2</v>
      </c>
      <c r="F130" s="10" t="s">
        <v>35</v>
      </c>
      <c r="G130" s="11" t="n">
        <v>41809</v>
      </c>
      <c r="H130" s="11" t="n">
        <v>41811</v>
      </c>
      <c r="I130" s="9" t="n">
        <v>2</v>
      </c>
      <c r="J130" s="11" t="n">
        <v>41806</v>
      </c>
    </row>
    <row r="131" customFormat="false" ht="15" hidden="false" customHeight="true" outlineLevel="0" collapsed="false">
      <c r="A131" s="12" t="n">
        <v>181</v>
      </c>
      <c r="B131" s="12" t="n">
        <v>26</v>
      </c>
      <c r="C131" s="13" t="s">
        <v>22</v>
      </c>
      <c r="D131" s="13" t="s">
        <v>30</v>
      </c>
      <c r="E131" s="13" t="s">
        <v>2</v>
      </c>
      <c r="F131" s="13" t="s">
        <v>35</v>
      </c>
      <c r="G131" s="14" t="n">
        <v>41809</v>
      </c>
      <c r="H131" s="14" t="n">
        <v>41809</v>
      </c>
      <c r="I131" s="12" t="n">
        <v>0</v>
      </c>
      <c r="J131" s="14" t="n">
        <v>41806</v>
      </c>
    </row>
    <row r="132" customFormat="false" ht="15" hidden="false" customHeight="true" outlineLevel="0" collapsed="false">
      <c r="A132" s="9" t="n">
        <v>188</v>
      </c>
      <c r="B132" s="9" t="n">
        <v>28</v>
      </c>
      <c r="C132" s="10" t="s">
        <v>22</v>
      </c>
      <c r="D132" s="10" t="s">
        <v>23</v>
      </c>
      <c r="E132" s="10" t="s">
        <v>2</v>
      </c>
      <c r="F132" s="10" t="s">
        <v>24</v>
      </c>
      <c r="G132" s="11" t="n">
        <v>41809</v>
      </c>
      <c r="H132" s="11" t="n">
        <v>41814</v>
      </c>
      <c r="I132" s="9" t="n">
        <v>5</v>
      </c>
      <c r="J132" s="11" t="n">
        <v>41806</v>
      </c>
    </row>
    <row r="133" customFormat="false" ht="15" hidden="false" customHeight="true" outlineLevel="0" collapsed="false">
      <c r="A133" s="12" t="n">
        <v>194</v>
      </c>
      <c r="B133" s="12" t="n">
        <v>26</v>
      </c>
      <c r="C133" s="13" t="s">
        <v>22</v>
      </c>
      <c r="D133" s="13" t="s">
        <v>23</v>
      </c>
      <c r="E133" s="13" t="s">
        <v>2</v>
      </c>
      <c r="F133" s="13" t="s">
        <v>35</v>
      </c>
      <c r="G133" s="14" t="n">
        <v>41810</v>
      </c>
      <c r="H133" s="14" t="n">
        <v>41814</v>
      </c>
      <c r="I133" s="12" t="n">
        <v>4</v>
      </c>
      <c r="J133" s="14" t="n">
        <v>41806</v>
      </c>
    </row>
    <row r="134" customFormat="false" ht="15" hidden="false" customHeight="true" outlineLevel="0" collapsed="false">
      <c r="A134" s="9" t="n">
        <v>197</v>
      </c>
      <c r="B134" s="9" t="n">
        <v>15</v>
      </c>
      <c r="C134" s="10" t="s">
        <v>34</v>
      </c>
      <c r="D134" s="10" t="s">
        <v>23</v>
      </c>
      <c r="E134" s="10" t="s">
        <v>2</v>
      </c>
      <c r="F134" s="10" t="s">
        <v>24</v>
      </c>
      <c r="G134" s="11" t="n">
        <v>41810</v>
      </c>
      <c r="H134" s="11" t="n">
        <v>41817</v>
      </c>
      <c r="I134" s="9" t="n">
        <v>7</v>
      </c>
      <c r="J134" s="11" t="n">
        <v>41806</v>
      </c>
    </row>
    <row r="135" customFormat="false" ht="15" hidden="false" customHeight="true" outlineLevel="0" collapsed="false">
      <c r="A135" s="12" t="n">
        <v>196</v>
      </c>
      <c r="B135" s="12" t="n">
        <v>38</v>
      </c>
      <c r="C135" s="13" t="s">
        <v>25</v>
      </c>
      <c r="D135" s="13" t="s">
        <v>23</v>
      </c>
      <c r="E135" s="13" t="s">
        <v>2</v>
      </c>
      <c r="F135" s="13" t="s">
        <v>35</v>
      </c>
      <c r="G135" s="14" t="n">
        <v>41810</v>
      </c>
      <c r="H135" s="14" t="n">
        <v>41818</v>
      </c>
      <c r="I135" s="12" t="n">
        <v>8</v>
      </c>
      <c r="J135" s="14" t="n">
        <v>41806</v>
      </c>
    </row>
    <row r="136" customFormat="false" ht="15" hidden="false" customHeight="true" outlineLevel="0" collapsed="false">
      <c r="A136" s="9" t="n">
        <v>193</v>
      </c>
      <c r="B136" s="9" t="n">
        <v>25</v>
      </c>
      <c r="C136" s="10" t="s">
        <v>22</v>
      </c>
      <c r="D136" s="10" t="s">
        <v>30</v>
      </c>
      <c r="E136" s="10" t="s">
        <v>2</v>
      </c>
      <c r="F136" s="10" t="s">
        <v>24</v>
      </c>
      <c r="G136" s="11" t="n">
        <v>41810</v>
      </c>
      <c r="H136" s="11" t="n">
        <v>41812</v>
      </c>
      <c r="I136" s="9" t="n">
        <v>2</v>
      </c>
      <c r="J136" s="11" t="n">
        <v>41806</v>
      </c>
    </row>
    <row r="137" customFormat="false" ht="15" hidden="false" customHeight="true" outlineLevel="0" collapsed="false">
      <c r="A137" s="12" t="n">
        <v>198</v>
      </c>
      <c r="B137" s="12" t="n">
        <v>50</v>
      </c>
      <c r="C137" s="13" t="s">
        <v>26</v>
      </c>
      <c r="D137" s="13" t="s">
        <v>23</v>
      </c>
      <c r="E137" s="13" t="s">
        <v>2</v>
      </c>
      <c r="F137" s="13" t="s">
        <v>24</v>
      </c>
      <c r="G137" s="14" t="n">
        <v>41810</v>
      </c>
      <c r="H137" s="14" t="n">
        <v>41822</v>
      </c>
      <c r="I137" s="12" t="n">
        <v>12</v>
      </c>
      <c r="J137" s="14" t="n">
        <v>41806</v>
      </c>
    </row>
    <row r="138" customFormat="false" ht="15" hidden="false" customHeight="true" outlineLevel="0" collapsed="false">
      <c r="A138" s="9" t="n">
        <v>195</v>
      </c>
      <c r="B138" s="9" t="n">
        <v>3</v>
      </c>
      <c r="C138" s="10" t="s">
        <v>31</v>
      </c>
      <c r="D138" s="10" t="s">
        <v>30</v>
      </c>
      <c r="E138" s="10" t="s">
        <v>2</v>
      </c>
      <c r="F138" s="10" t="s">
        <v>24</v>
      </c>
      <c r="G138" s="11" t="n">
        <v>41810</v>
      </c>
      <c r="H138" s="11" t="n">
        <v>41815</v>
      </c>
      <c r="I138" s="9" t="n">
        <v>5</v>
      </c>
      <c r="J138" s="11" t="n">
        <v>41806</v>
      </c>
    </row>
    <row r="139" customFormat="false" ht="15" hidden="false" customHeight="true" outlineLevel="0" collapsed="false">
      <c r="A139" s="12" t="n">
        <v>199</v>
      </c>
      <c r="B139" s="12" t="n">
        <v>40</v>
      </c>
      <c r="C139" s="13" t="s">
        <v>25</v>
      </c>
      <c r="D139" s="13" t="s">
        <v>30</v>
      </c>
      <c r="E139" s="13" t="s">
        <v>2</v>
      </c>
      <c r="F139" s="13" t="s">
        <v>24</v>
      </c>
      <c r="G139" s="14" t="n">
        <v>41810</v>
      </c>
      <c r="H139" s="14" t="n">
        <v>41822</v>
      </c>
      <c r="I139" s="12" t="n">
        <v>12</v>
      </c>
      <c r="J139" s="14" t="n">
        <v>41806</v>
      </c>
    </row>
    <row r="140" customFormat="false" ht="15" hidden="false" customHeight="true" outlineLevel="0" collapsed="false">
      <c r="A140" s="9" t="n">
        <v>201</v>
      </c>
      <c r="B140" s="9" t="n">
        <v>32</v>
      </c>
      <c r="C140" s="10" t="s">
        <v>25</v>
      </c>
      <c r="D140" s="10" t="s">
        <v>23</v>
      </c>
      <c r="E140" s="10" t="s">
        <v>2</v>
      </c>
      <c r="F140" s="10" t="s">
        <v>35</v>
      </c>
      <c r="G140" s="11" t="n">
        <v>41811</v>
      </c>
      <c r="H140" s="11" t="n">
        <v>41811</v>
      </c>
      <c r="I140" s="9" t="n">
        <v>0</v>
      </c>
      <c r="J140" s="11" t="n">
        <v>41806</v>
      </c>
    </row>
    <row r="141" customFormat="false" ht="15" hidden="false" customHeight="true" outlineLevel="0" collapsed="false">
      <c r="A141" s="12" t="n">
        <v>202</v>
      </c>
      <c r="B141" s="12" t="n">
        <v>30</v>
      </c>
      <c r="C141" s="13" t="s">
        <v>25</v>
      </c>
      <c r="D141" s="13" t="s">
        <v>23</v>
      </c>
      <c r="E141" s="13" t="s">
        <v>2</v>
      </c>
      <c r="F141" s="13" t="s">
        <v>24</v>
      </c>
      <c r="G141" s="14" t="n">
        <v>41811</v>
      </c>
      <c r="H141" s="14" t="n">
        <v>41817</v>
      </c>
      <c r="I141" s="12" t="n">
        <v>6</v>
      </c>
      <c r="J141" s="14" t="n">
        <v>41806</v>
      </c>
    </row>
    <row r="142" customFormat="false" ht="15" hidden="false" customHeight="true" outlineLevel="0" collapsed="false">
      <c r="A142" s="9" t="n">
        <v>206</v>
      </c>
      <c r="B142" s="9" t="n">
        <v>60</v>
      </c>
      <c r="C142" s="10" t="s">
        <v>32</v>
      </c>
      <c r="D142" s="10" t="s">
        <v>23</v>
      </c>
      <c r="E142" s="10" t="s">
        <v>2</v>
      </c>
      <c r="F142" s="10" t="s">
        <v>24</v>
      </c>
      <c r="G142" s="11" t="n">
        <v>41812</v>
      </c>
      <c r="H142" s="11" t="n">
        <v>41817</v>
      </c>
      <c r="I142" s="9" t="n">
        <v>5</v>
      </c>
      <c r="J142" s="11" t="n">
        <v>41806</v>
      </c>
    </row>
    <row r="143" customFormat="false" ht="15" hidden="false" customHeight="true" outlineLevel="0" collapsed="false">
      <c r="A143" s="12" t="n">
        <v>207</v>
      </c>
      <c r="B143" s="12" t="n">
        <v>30</v>
      </c>
      <c r="C143" s="13" t="s">
        <v>25</v>
      </c>
      <c r="D143" s="13" t="s">
        <v>23</v>
      </c>
      <c r="E143" s="13" t="s">
        <v>2</v>
      </c>
      <c r="F143" s="13" t="s">
        <v>35</v>
      </c>
      <c r="G143" s="14" t="n">
        <v>41813</v>
      </c>
      <c r="H143" s="14" t="n">
        <v>41817</v>
      </c>
      <c r="I143" s="12" t="n">
        <v>4</v>
      </c>
      <c r="J143" s="14" t="n">
        <v>41813</v>
      </c>
    </row>
    <row r="144" customFormat="false" ht="15" hidden="false" customHeight="true" outlineLevel="0" collapsed="false">
      <c r="A144" s="9" t="n">
        <v>208</v>
      </c>
      <c r="B144" s="9" t="n">
        <v>53</v>
      </c>
      <c r="C144" s="10" t="s">
        <v>26</v>
      </c>
      <c r="D144" s="10" t="s">
        <v>23</v>
      </c>
      <c r="E144" s="10" t="s">
        <v>2</v>
      </c>
      <c r="F144" s="10" t="s">
        <v>24</v>
      </c>
      <c r="G144" s="11" t="n">
        <v>41813</v>
      </c>
      <c r="H144" s="11" t="n">
        <v>41828</v>
      </c>
      <c r="I144" s="9" t="n">
        <v>15</v>
      </c>
      <c r="J144" s="11" t="n">
        <v>41813</v>
      </c>
    </row>
    <row r="145" customFormat="false" ht="15" hidden="false" customHeight="true" outlineLevel="0" collapsed="false">
      <c r="A145" s="12" t="n">
        <v>211</v>
      </c>
      <c r="B145" s="12" t="n">
        <v>30</v>
      </c>
      <c r="C145" s="13" t="s">
        <v>25</v>
      </c>
      <c r="D145" s="13" t="s">
        <v>23</v>
      </c>
      <c r="E145" s="13" t="s">
        <v>2</v>
      </c>
      <c r="F145" s="13" t="s">
        <v>35</v>
      </c>
      <c r="G145" s="14" t="n">
        <v>41814</v>
      </c>
      <c r="H145" s="14" t="n">
        <v>41819</v>
      </c>
      <c r="I145" s="12" t="n">
        <v>5</v>
      </c>
      <c r="J145" s="14" t="n">
        <v>41813</v>
      </c>
    </row>
    <row r="146" customFormat="false" ht="15" hidden="false" customHeight="true" outlineLevel="0" collapsed="false">
      <c r="A146" s="9" t="n">
        <v>213</v>
      </c>
      <c r="B146" s="9" t="n">
        <v>8</v>
      </c>
      <c r="C146" s="10" t="s">
        <v>34</v>
      </c>
      <c r="D146" s="10" t="s">
        <v>23</v>
      </c>
      <c r="E146" s="10" t="s">
        <v>2</v>
      </c>
      <c r="F146" s="10" t="s">
        <v>35</v>
      </c>
      <c r="G146" s="11" t="n">
        <v>41814</v>
      </c>
      <c r="H146" s="11" t="n">
        <v>41819</v>
      </c>
      <c r="I146" s="9" t="n">
        <v>5</v>
      </c>
      <c r="J146" s="11" t="n">
        <v>41813</v>
      </c>
    </row>
    <row r="147" customFormat="false" ht="15" hidden="false" customHeight="true" outlineLevel="0" collapsed="false">
      <c r="A147" s="12" t="n">
        <v>217</v>
      </c>
      <c r="B147" s="12" t="n">
        <v>45</v>
      </c>
      <c r="C147" s="13" t="s">
        <v>26</v>
      </c>
      <c r="D147" s="13" t="s">
        <v>23</v>
      </c>
      <c r="E147" s="13" t="s">
        <v>2</v>
      </c>
      <c r="F147" s="13" t="s">
        <v>24</v>
      </c>
      <c r="G147" s="14" t="n">
        <v>41814</v>
      </c>
      <c r="H147" s="14" t="n">
        <v>41822</v>
      </c>
      <c r="I147" s="12" t="n">
        <v>8</v>
      </c>
      <c r="J147" s="14" t="n">
        <v>41813</v>
      </c>
    </row>
    <row r="148" customFormat="false" ht="15" hidden="false" customHeight="true" outlineLevel="0" collapsed="false">
      <c r="A148" s="9" t="n">
        <v>212</v>
      </c>
      <c r="B148" s="9" t="n">
        <v>45</v>
      </c>
      <c r="C148" s="10" t="s">
        <v>26</v>
      </c>
      <c r="D148" s="10" t="s">
        <v>30</v>
      </c>
      <c r="E148" s="10" t="s">
        <v>2</v>
      </c>
      <c r="F148" s="10" t="s">
        <v>35</v>
      </c>
      <c r="G148" s="11" t="n">
        <v>41814</v>
      </c>
      <c r="H148" s="11" t="n">
        <v>41820</v>
      </c>
      <c r="I148" s="9" t="n">
        <v>6</v>
      </c>
      <c r="J148" s="11" t="n">
        <v>41813</v>
      </c>
    </row>
    <row r="149" customFormat="false" ht="15" hidden="false" customHeight="true" outlineLevel="0" collapsed="false">
      <c r="A149" s="12" t="n">
        <v>214</v>
      </c>
      <c r="B149" s="12" t="n">
        <v>6</v>
      </c>
      <c r="C149" s="13" t="s">
        <v>34</v>
      </c>
      <c r="D149" s="13" t="s">
        <v>23</v>
      </c>
      <c r="E149" s="13" t="s">
        <v>2</v>
      </c>
      <c r="F149" s="13" t="s">
        <v>35</v>
      </c>
      <c r="G149" s="14" t="n">
        <v>41814</v>
      </c>
      <c r="H149" s="14" t="n">
        <v>41820</v>
      </c>
      <c r="I149" s="12" t="n">
        <v>6</v>
      </c>
      <c r="J149" s="14" t="n">
        <v>41813</v>
      </c>
    </row>
    <row r="150" customFormat="false" ht="15" hidden="false" customHeight="true" outlineLevel="0" collapsed="false">
      <c r="A150" s="9" t="n">
        <v>216</v>
      </c>
      <c r="B150" s="9" t="n">
        <v>40</v>
      </c>
      <c r="C150" s="10" t="s">
        <v>25</v>
      </c>
      <c r="D150" s="10" t="s">
        <v>23</v>
      </c>
      <c r="E150" s="10" t="s">
        <v>2</v>
      </c>
      <c r="F150" s="10" t="s">
        <v>24</v>
      </c>
      <c r="G150" s="11" t="n">
        <v>41814</v>
      </c>
      <c r="H150" s="11" t="n">
        <v>41819</v>
      </c>
      <c r="I150" s="9" t="n">
        <v>5</v>
      </c>
      <c r="J150" s="11" t="n">
        <v>41813</v>
      </c>
    </row>
    <row r="151" customFormat="false" ht="15" hidden="false" customHeight="true" outlineLevel="0" collapsed="false">
      <c r="A151" s="12" t="n">
        <v>209</v>
      </c>
      <c r="B151" s="12" t="n">
        <v>40</v>
      </c>
      <c r="C151" s="13" t="s">
        <v>25</v>
      </c>
      <c r="D151" s="13" t="s">
        <v>23</v>
      </c>
      <c r="E151" s="13" t="s">
        <v>2</v>
      </c>
      <c r="F151" s="13" t="s">
        <v>24</v>
      </c>
      <c r="G151" s="14" t="n">
        <v>41814</v>
      </c>
      <c r="H151" s="14" t="n">
        <v>41817</v>
      </c>
      <c r="I151" s="12" t="n">
        <v>3</v>
      </c>
      <c r="J151" s="14" t="n">
        <v>41813</v>
      </c>
    </row>
    <row r="152" customFormat="false" ht="15" hidden="false" customHeight="true" outlineLevel="0" collapsed="false">
      <c r="A152" s="9" t="n">
        <v>215</v>
      </c>
      <c r="B152" s="9" t="n">
        <v>49</v>
      </c>
      <c r="C152" s="10" t="s">
        <v>26</v>
      </c>
      <c r="D152" s="10" t="s">
        <v>30</v>
      </c>
      <c r="E152" s="10" t="s">
        <v>2</v>
      </c>
      <c r="F152" s="10" t="s">
        <v>24</v>
      </c>
      <c r="G152" s="11" t="n">
        <v>41814</v>
      </c>
      <c r="H152" s="11" t="n">
        <v>41819</v>
      </c>
      <c r="I152" s="9" t="n">
        <v>5</v>
      </c>
      <c r="J152" s="11" t="n">
        <v>41813</v>
      </c>
    </row>
    <row r="153" customFormat="false" ht="15" hidden="false" customHeight="true" outlineLevel="0" collapsed="false">
      <c r="A153" s="12" t="n">
        <v>218</v>
      </c>
      <c r="B153" s="12" t="n">
        <v>35</v>
      </c>
      <c r="C153" s="13" t="s">
        <v>25</v>
      </c>
      <c r="D153" s="13" t="s">
        <v>23</v>
      </c>
      <c r="E153" s="13" t="s">
        <v>2</v>
      </c>
      <c r="F153" s="13" t="s">
        <v>35</v>
      </c>
      <c r="G153" s="14" t="n">
        <v>41815</v>
      </c>
      <c r="H153" s="14" t="n">
        <v>41818</v>
      </c>
      <c r="I153" s="12" t="n">
        <v>3</v>
      </c>
      <c r="J153" s="14" t="n">
        <v>41813</v>
      </c>
    </row>
    <row r="154" customFormat="false" ht="15" hidden="false" customHeight="true" outlineLevel="0" collapsed="false">
      <c r="A154" s="9" t="n">
        <v>224</v>
      </c>
      <c r="B154" s="9" t="n">
        <v>50</v>
      </c>
      <c r="C154" s="10" t="s">
        <v>26</v>
      </c>
      <c r="D154" s="10" t="s">
        <v>30</v>
      </c>
      <c r="E154" s="10" t="s">
        <v>2</v>
      </c>
      <c r="F154" s="10" t="s">
        <v>24</v>
      </c>
      <c r="G154" s="11" t="n">
        <v>41815</v>
      </c>
      <c r="H154" s="11" t="n">
        <v>41834</v>
      </c>
      <c r="I154" s="9" t="n">
        <v>19</v>
      </c>
      <c r="J154" s="11" t="n">
        <v>41813</v>
      </c>
    </row>
    <row r="155" customFormat="false" ht="15" hidden="false" customHeight="true" outlineLevel="0" collapsed="false">
      <c r="A155" s="12" t="n">
        <v>219</v>
      </c>
      <c r="B155" s="12" t="n">
        <v>23</v>
      </c>
      <c r="C155" s="13" t="s">
        <v>22</v>
      </c>
      <c r="D155" s="13" t="s">
        <v>30</v>
      </c>
      <c r="E155" s="13" t="s">
        <v>2</v>
      </c>
      <c r="F155" s="13" t="s">
        <v>35</v>
      </c>
      <c r="G155" s="14" t="n">
        <v>41815</v>
      </c>
      <c r="H155" s="14" t="n">
        <v>41819</v>
      </c>
      <c r="I155" s="12" t="n">
        <v>4</v>
      </c>
      <c r="J155" s="14" t="n">
        <v>41813</v>
      </c>
    </row>
    <row r="156" customFormat="false" ht="15" hidden="false" customHeight="true" outlineLevel="0" collapsed="false">
      <c r="A156" s="9" t="n">
        <v>223</v>
      </c>
      <c r="B156" s="9"/>
      <c r="C156" s="10" t="s">
        <v>29</v>
      </c>
      <c r="D156" s="10" t="s">
        <v>30</v>
      </c>
      <c r="E156" s="10" t="s">
        <v>2</v>
      </c>
      <c r="F156" s="10" t="s">
        <v>28</v>
      </c>
      <c r="G156" s="11" t="n">
        <v>41815</v>
      </c>
      <c r="H156" s="11" t="n">
        <v>41832</v>
      </c>
      <c r="I156" s="9" t="n">
        <v>17</v>
      </c>
      <c r="J156" s="11" t="n">
        <v>41813</v>
      </c>
    </row>
    <row r="157" customFormat="false" ht="15" hidden="false" customHeight="true" outlineLevel="0" collapsed="false">
      <c r="A157" s="12" t="n">
        <v>221</v>
      </c>
      <c r="B157" s="12" t="n">
        <v>35</v>
      </c>
      <c r="C157" s="13" t="s">
        <v>25</v>
      </c>
      <c r="D157" s="13" t="s">
        <v>23</v>
      </c>
      <c r="E157" s="13" t="s">
        <v>2</v>
      </c>
      <c r="F157" s="13" t="s">
        <v>24</v>
      </c>
      <c r="G157" s="14" t="n">
        <v>41815</v>
      </c>
      <c r="H157" s="14" t="n">
        <v>41826</v>
      </c>
      <c r="I157" s="12" t="n">
        <v>11</v>
      </c>
      <c r="J157" s="14" t="n">
        <v>41813</v>
      </c>
    </row>
    <row r="158" customFormat="false" ht="15" hidden="false" customHeight="true" outlineLevel="0" collapsed="false">
      <c r="A158" s="9" t="n">
        <v>225</v>
      </c>
      <c r="B158" s="9" t="n">
        <v>28</v>
      </c>
      <c r="C158" s="10" t="s">
        <v>22</v>
      </c>
      <c r="D158" s="10" t="s">
        <v>30</v>
      </c>
      <c r="E158" s="10" t="s">
        <v>2</v>
      </c>
      <c r="F158" s="10" t="s">
        <v>24</v>
      </c>
      <c r="G158" s="11" t="n">
        <v>41815</v>
      </c>
      <c r="H158" s="11" t="n">
        <v>41837</v>
      </c>
      <c r="I158" s="9" t="n">
        <v>22</v>
      </c>
      <c r="J158" s="11" t="n">
        <v>41813</v>
      </c>
    </row>
    <row r="159" customFormat="false" ht="15" hidden="false" customHeight="true" outlineLevel="0" collapsed="false">
      <c r="A159" s="12" t="n">
        <v>230</v>
      </c>
      <c r="B159" s="12"/>
      <c r="C159" s="13" t="s">
        <v>29</v>
      </c>
      <c r="D159" s="13" t="s">
        <v>30</v>
      </c>
      <c r="E159" s="13" t="s">
        <v>2</v>
      </c>
      <c r="F159" s="13" t="s">
        <v>35</v>
      </c>
      <c r="G159" s="14" t="n">
        <v>41816</v>
      </c>
      <c r="H159" s="14" t="n">
        <v>41820</v>
      </c>
      <c r="I159" s="12" t="n">
        <v>4</v>
      </c>
      <c r="J159" s="14" t="n">
        <v>41813</v>
      </c>
    </row>
    <row r="160" customFormat="false" ht="15" hidden="false" customHeight="true" outlineLevel="0" collapsed="false">
      <c r="A160" s="9" t="n">
        <v>229</v>
      </c>
      <c r="B160" s="9" t="n">
        <v>35</v>
      </c>
      <c r="C160" s="10" t="s">
        <v>25</v>
      </c>
      <c r="D160" s="10" t="s">
        <v>23</v>
      </c>
      <c r="E160" s="10" t="s">
        <v>2</v>
      </c>
      <c r="F160" s="10" t="s">
        <v>35</v>
      </c>
      <c r="G160" s="11" t="n">
        <v>41816</v>
      </c>
      <c r="H160" s="11" t="n">
        <v>41820</v>
      </c>
      <c r="I160" s="9" t="n">
        <v>4</v>
      </c>
      <c r="J160" s="11" t="n">
        <v>41813</v>
      </c>
    </row>
    <row r="161" customFormat="false" ht="15" hidden="false" customHeight="true" outlineLevel="0" collapsed="false">
      <c r="A161" s="12" t="n">
        <v>237</v>
      </c>
      <c r="B161" s="12" t="n">
        <v>39</v>
      </c>
      <c r="C161" s="13" t="s">
        <v>25</v>
      </c>
      <c r="D161" s="13" t="s">
        <v>23</v>
      </c>
      <c r="E161" s="13" t="s">
        <v>2</v>
      </c>
      <c r="F161" s="13" t="s">
        <v>24</v>
      </c>
      <c r="G161" s="14" t="n">
        <v>41816</v>
      </c>
      <c r="H161" s="14" t="n">
        <v>41822</v>
      </c>
      <c r="I161" s="12" t="n">
        <v>6</v>
      </c>
      <c r="J161" s="14" t="n">
        <v>41813</v>
      </c>
    </row>
    <row r="162" customFormat="false" ht="15" hidden="false" customHeight="true" outlineLevel="0" collapsed="false">
      <c r="A162" s="9" t="n">
        <v>236</v>
      </c>
      <c r="B162" s="9" t="n">
        <v>3</v>
      </c>
      <c r="C162" s="10" t="s">
        <v>31</v>
      </c>
      <c r="D162" s="10" t="s">
        <v>30</v>
      </c>
      <c r="E162" s="10" t="s">
        <v>2</v>
      </c>
      <c r="F162" s="10" t="s">
        <v>24</v>
      </c>
      <c r="G162" s="11" t="n">
        <v>41816</v>
      </c>
      <c r="H162" s="11" t="n">
        <v>41822</v>
      </c>
      <c r="I162" s="9" t="n">
        <v>6</v>
      </c>
      <c r="J162" s="11" t="n">
        <v>41813</v>
      </c>
    </row>
    <row r="163" customFormat="false" ht="15" hidden="false" customHeight="true" outlineLevel="0" collapsed="false">
      <c r="A163" s="12" t="n">
        <v>235</v>
      </c>
      <c r="B163" s="12" t="n">
        <v>14</v>
      </c>
      <c r="C163" s="13" t="s">
        <v>34</v>
      </c>
      <c r="D163" s="13" t="s">
        <v>23</v>
      </c>
      <c r="E163" s="13" t="s">
        <v>2</v>
      </c>
      <c r="F163" s="13" t="s">
        <v>35</v>
      </c>
      <c r="G163" s="14" t="n">
        <v>41816</v>
      </c>
      <c r="H163" s="14" t="n">
        <v>41821</v>
      </c>
      <c r="I163" s="12" t="n">
        <v>5</v>
      </c>
      <c r="J163" s="14" t="n">
        <v>41813</v>
      </c>
    </row>
    <row r="164" customFormat="false" ht="15" hidden="false" customHeight="true" outlineLevel="0" collapsed="false">
      <c r="A164" s="9" t="n">
        <v>231</v>
      </c>
      <c r="B164" s="9" t="n">
        <v>14</v>
      </c>
      <c r="C164" s="10" t="s">
        <v>34</v>
      </c>
      <c r="D164" s="10" t="s">
        <v>23</v>
      </c>
      <c r="E164" s="10" t="s">
        <v>2</v>
      </c>
      <c r="F164" s="10" t="s">
        <v>35</v>
      </c>
      <c r="G164" s="11" t="n">
        <v>41816</v>
      </c>
      <c r="H164" s="11" t="n">
        <v>41820</v>
      </c>
      <c r="I164" s="9" t="n">
        <v>4</v>
      </c>
      <c r="J164" s="11" t="n">
        <v>41813</v>
      </c>
    </row>
    <row r="165" customFormat="false" ht="15" hidden="false" customHeight="true" outlineLevel="0" collapsed="false">
      <c r="A165" s="12" t="n">
        <v>240</v>
      </c>
      <c r="B165" s="12" t="n">
        <v>35</v>
      </c>
      <c r="C165" s="13" t="s">
        <v>25</v>
      </c>
      <c r="D165" s="13" t="s">
        <v>30</v>
      </c>
      <c r="E165" s="13" t="s">
        <v>2</v>
      </c>
      <c r="F165" s="13" t="s">
        <v>24</v>
      </c>
      <c r="G165" s="14" t="n">
        <v>41816</v>
      </c>
      <c r="H165" s="14" t="n">
        <v>41822</v>
      </c>
      <c r="I165" s="12" t="n">
        <v>6</v>
      </c>
      <c r="J165" s="14" t="n">
        <v>41813</v>
      </c>
    </row>
    <row r="166" customFormat="false" ht="15" hidden="false" customHeight="true" outlineLevel="0" collapsed="false">
      <c r="A166" s="9" t="n">
        <v>228</v>
      </c>
      <c r="B166" s="9" t="n">
        <v>35</v>
      </c>
      <c r="C166" s="10" t="s">
        <v>25</v>
      </c>
      <c r="D166" s="10" t="s">
        <v>23</v>
      </c>
      <c r="E166" s="10" t="s">
        <v>2</v>
      </c>
      <c r="F166" s="10" t="s">
        <v>35</v>
      </c>
      <c r="G166" s="11" t="n">
        <v>41816</v>
      </c>
      <c r="H166" s="11" t="n">
        <v>41819</v>
      </c>
      <c r="I166" s="9" t="n">
        <v>3</v>
      </c>
      <c r="J166" s="11" t="n">
        <v>41813</v>
      </c>
    </row>
    <row r="167" customFormat="false" ht="15" hidden="false" customHeight="true" outlineLevel="0" collapsed="false">
      <c r="A167" s="12" t="n">
        <v>227</v>
      </c>
      <c r="B167" s="12" t="n">
        <v>30</v>
      </c>
      <c r="C167" s="13" t="s">
        <v>25</v>
      </c>
      <c r="D167" s="13" t="s">
        <v>23</v>
      </c>
      <c r="E167" s="13" t="s">
        <v>2</v>
      </c>
      <c r="F167" s="13" t="s">
        <v>35</v>
      </c>
      <c r="G167" s="14" t="n">
        <v>41816</v>
      </c>
      <c r="H167" s="14" t="n">
        <v>41819</v>
      </c>
      <c r="I167" s="12" t="n">
        <v>3</v>
      </c>
      <c r="J167" s="14" t="n">
        <v>41813</v>
      </c>
    </row>
    <row r="168" customFormat="false" ht="15" hidden="false" customHeight="true" outlineLevel="0" collapsed="false">
      <c r="A168" s="9" t="n">
        <v>232</v>
      </c>
      <c r="B168" s="9" t="n">
        <v>15</v>
      </c>
      <c r="C168" s="10" t="s">
        <v>34</v>
      </c>
      <c r="D168" s="10" t="s">
        <v>23</v>
      </c>
      <c r="E168" s="10" t="s">
        <v>2</v>
      </c>
      <c r="F168" s="10" t="s">
        <v>24</v>
      </c>
      <c r="G168" s="11" t="n">
        <v>41816</v>
      </c>
      <c r="H168" s="11" t="n">
        <v>41821</v>
      </c>
      <c r="I168" s="9" t="n">
        <v>5</v>
      </c>
      <c r="J168" s="11" t="n">
        <v>41813</v>
      </c>
    </row>
    <row r="169" customFormat="false" ht="15" hidden="false" customHeight="true" outlineLevel="0" collapsed="false">
      <c r="A169" s="12" t="n">
        <v>241</v>
      </c>
      <c r="B169" s="12" t="n">
        <v>17</v>
      </c>
      <c r="C169" s="13" t="s">
        <v>34</v>
      </c>
      <c r="D169" s="13" t="s">
        <v>23</v>
      </c>
      <c r="E169" s="13" t="s">
        <v>2</v>
      </c>
      <c r="F169" s="13" t="s">
        <v>35</v>
      </c>
      <c r="G169" s="14" t="n">
        <v>41817</v>
      </c>
      <c r="H169" s="14" t="n">
        <v>41819</v>
      </c>
      <c r="I169" s="12" t="n">
        <v>2</v>
      </c>
      <c r="J169" s="14" t="n">
        <v>41813</v>
      </c>
    </row>
    <row r="170" customFormat="false" ht="15" hidden="false" customHeight="true" outlineLevel="0" collapsed="false">
      <c r="A170" s="9" t="n">
        <v>250</v>
      </c>
      <c r="B170" s="9" t="n">
        <v>67</v>
      </c>
      <c r="C170" s="10" t="s">
        <v>32</v>
      </c>
      <c r="D170" s="10" t="s">
        <v>30</v>
      </c>
      <c r="E170" s="10" t="s">
        <v>2</v>
      </c>
      <c r="F170" s="10" t="s">
        <v>24</v>
      </c>
      <c r="G170" s="11" t="n">
        <v>41817</v>
      </c>
      <c r="H170" s="11" t="n">
        <v>41825</v>
      </c>
      <c r="I170" s="9" t="n">
        <v>8</v>
      </c>
      <c r="J170" s="11" t="n">
        <v>41813</v>
      </c>
    </row>
    <row r="171" customFormat="false" ht="15" hidden="false" customHeight="true" outlineLevel="0" collapsed="false">
      <c r="A171" s="12" t="n">
        <v>253</v>
      </c>
      <c r="B171" s="12" t="n">
        <v>50</v>
      </c>
      <c r="C171" s="13" t="s">
        <v>26</v>
      </c>
      <c r="D171" s="13" t="s">
        <v>23</v>
      </c>
      <c r="E171" s="13" t="s">
        <v>2</v>
      </c>
      <c r="F171" s="13" t="s">
        <v>24</v>
      </c>
      <c r="G171" s="14" t="n">
        <v>41817</v>
      </c>
      <c r="H171" s="14" t="n">
        <v>41822</v>
      </c>
      <c r="I171" s="12" t="n">
        <v>5</v>
      </c>
      <c r="J171" s="14" t="n">
        <v>41813</v>
      </c>
    </row>
    <row r="172" customFormat="false" ht="15" hidden="false" customHeight="true" outlineLevel="0" collapsed="false">
      <c r="A172" s="9" t="n">
        <v>244</v>
      </c>
      <c r="B172" s="9" t="n">
        <v>50</v>
      </c>
      <c r="C172" s="10" t="s">
        <v>26</v>
      </c>
      <c r="D172" s="10" t="s">
        <v>30</v>
      </c>
      <c r="E172" s="10" t="s">
        <v>2</v>
      </c>
      <c r="F172" s="10" t="s">
        <v>35</v>
      </c>
      <c r="G172" s="11" t="n">
        <v>41817</v>
      </c>
      <c r="H172" s="11" t="n">
        <v>41822</v>
      </c>
      <c r="I172" s="9" t="n">
        <v>5</v>
      </c>
      <c r="J172" s="11" t="n">
        <v>41813</v>
      </c>
    </row>
    <row r="173" customFormat="false" ht="15" hidden="false" customHeight="true" outlineLevel="0" collapsed="false">
      <c r="A173" s="12" t="n">
        <v>248</v>
      </c>
      <c r="B173" s="12" t="n">
        <v>18</v>
      </c>
      <c r="C173" s="13" t="s">
        <v>22</v>
      </c>
      <c r="D173" s="13" t="s">
        <v>23</v>
      </c>
      <c r="E173" s="13" t="s">
        <v>2</v>
      </c>
      <c r="F173" s="13" t="s">
        <v>24</v>
      </c>
      <c r="G173" s="14" t="n">
        <v>41817</v>
      </c>
      <c r="H173" s="14" t="n">
        <v>41822</v>
      </c>
      <c r="I173" s="12" t="n">
        <v>5</v>
      </c>
      <c r="J173" s="14" t="n">
        <v>41813</v>
      </c>
    </row>
    <row r="174" customFormat="false" ht="15" hidden="false" customHeight="true" outlineLevel="0" collapsed="false">
      <c r="A174" s="9" t="n">
        <v>252</v>
      </c>
      <c r="B174" s="9" t="n">
        <v>23</v>
      </c>
      <c r="C174" s="10" t="s">
        <v>22</v>
      </c>
      <c r="D174" s="10" t="s">
        <v>30</v>
      </c>
      <c r="E174" s="10" t="s">
        <v>2</v>
      </c>
      <c r="F174" s="10" t="s">
        <v>24</v>
      </c>
      <c r="G174" s="11" t="n">
        <v>41817</v>
      </c>
      <c r="H174" s="11" t="n">
        <v>41822</v>
      </c>
      <c r="I174" s="9" t="n">
        <v>5</v>
      </c>
      <c r="J174" s="11" t="n">
        <v>41813</v>
      </c>
    </row>
    <row r="175" customFormat="false" ht="15" hidden="false" customHeight="true" outlineLevel="0" collapsed="false">
      <c r="A175" s="12" t="n">
        <v>242</v>
      </c>
      <c r="B175" s="12" t="n">
        <v>50</v>
      </c>
      <c r="C175" s="13" t="s">
        <v>26</v>
      </c>
      <c r="D175" s="13" t="s">
        <v>23</v>
      </c>
      <c r="E175" s="13" t="s">
        <v>2</v>
      </c>
      <c r="F175" s="13" t="s">
        <v>35</v>
      </c>
      <c r="G175" s="14" t="n">
        <v>41817</v>
      </c>
      <c r="H175" s="14" t="n">
        <v>41821</v>
      </c>
      <c r="I175" s="12" t="n">
        <v>4</v>
      </c>
      <c r="J175" s="14" t="n">
        <v>41813</v>
      </c>
    </row>
    <row r="176" customFormat="false" ht="15" hidden="false" customHeight="true" outlineLevel="0" collapsed="false">
      <c r="A176" s="9" t="n">
        <v>247</v>
      </c>
      <c r="B176" s="9" t="n">
        <v>14</v>
      </c>
      <c r="C176" s="10" t="s">
        <v>34</v>
      </c>
      <c r="D176" s="10" t="s">
        <v>30</v>
      </c>
      <c r="E176" s="10" t="s">
        <v>2</v>
      </c>
      <c r="F176" s="10" t="s">
        <v>24</v>
      </c>
      <c r="G176" s="11" t="n">
        <v>41817</v>
      </c>
      <c r="H176" s="11" t="n">
        <v>41822</v>
      </c>
      <c r="I176" s="9" t="n">
        <v>5</v>
      </c>
      <c r="J176" s="11" t="n">
        <v>41813</v>
      </c>
    </row>
    <row r="177" customFormat="false" ht="15" hidden="false" customHeight="true" outlineLevel="0" collapsed="false">
      <c r="A177" s="12" t="n">
        <v>243</v>
      </c>
      <c r="B177" s="12" t="n">
        <v>49</v>
      </c>
      <c r="C177" s="13" t="s">
        <v>26</v>
      </c>
      <c r="D177" s="13" t="s">
        <v>23</v>
      </c>
      <c r="E177" s="13" t="s">
        <v>2</v>
      </c>
      <c r="F177" s="13" t="s">
        <v>35</v>
      </c>
      <c r="G177" s="14" t="n">
        <v>41817</v>
      </c>
      <c r="H177" s="14" t="n">
        <v>41822</v>
      </c>
      <c r="I177" s="12" t="n">
        <v>5</v>
      </c>
      <c r="J177" s="14" t="n">
        <v>41813</v>
      </c>
    </row>
    <row r="178" customFormat="false" ht="15" hidden="false" customHeight="true" outlineLevel="0" collapsed="false">
      <c r="A178" s="9" t="n">
        <v>275</v>
      </c>
      <c r="B178" s="9" t="n">
        <v>12</v>
      </c>
      <c r="C178" s="10" t="s">
        <v>34</v>
      </c>
      <c r="D178" s="10" t="s">
        <v>30</v>
      </c>
      <c r="E178" s="10" t="s">
        <v>2</v>
      </c>
      <c r="F178" s="10" t="s">
        <v>37</v>
      </c>
      <c r="G178" s="11" t="n">
        <v>41818</v>
      </c>
      <c r="H178" s="11" t="n">
        <v>41823</v>
      </c>
      <c r="I178" s="9" t="n">
        <v>5</v>
      </c>
      <c r="J178" s="11" t="n">
        <v>41813</v>
      </c>
    </row>
    <row r="179" customFormat="false" ht="15" hidden="false" customHeight="true" outlineLevel="0" collapsed="false">
      <c r="A179" s="12" t="n">
        <v>258</v>
      </c>
      <c r="B179" s="12" t="n">
        <v>10</v>
      </c>
      <c r="C179" s="13" t="s">
        <v>34</v>
      </c>
      <c r="D179" s="13" t="s">
        <v>23</v>
      </c>
      <c r="E179" s="13" t="s">
        <v>2</v>
      </c>
      <c r="F179" s="13" t="s">
        <v>24</v>
      </c>
      <c r="G179" s="14" t="n">
        <v>41818</v>
      </c>
      <c r="H179" s="14" t="n">
        <v>41822</v>
      </c>
      <c r="I179" s="12" t="n">
        <v>4</v>
      </c>
      <c r="J179" s="14" t="n">
        <v>41813</v>
      </c>
    </row>
    <row r="180" customFormat="false" ht="15" hidden="false" customHeight="true" outlineLevel="0" collapsed="false">
      <c r="A180" s="9" t="n">
        <v>270</v>
      </c>
      <c r="B180" s="9" t="n">
        <v>12</v>
      </c>
      <c r="C180" s="10" t="s">
        <v>34</v>
      </c>
      <c r="D180" s="10" t="s">
        <v>23</v>
      </c>
      <c r="E180" s="10" t="s">
        <v>2</v>
      </c>
      <c r="F180" s="10" t="s">
        <v>24</v>
      </c>
      <c r="G180" s="11" t="n">
        <v>41818</v>
      </c>
      <c r="H180" s="11" t="n">
        <v>41823</v>
      </c>
      <c r="I180" s="9" t="n">
        <v>5</v>
      </c>
      <c r="J180" s="11" t="n">
        <v>41813</v>
      </c>
    </row>
    <row r="181" customFormat="false" ht="15" hidden="false" customHeight="true" outlineLevel="0" collapsed="false">
      <c r="A181" s="12" t="n">
        <v>260</v>
      </c>
      <c r="B181" s="12" t="n">
        <v>3</v>
      </c>
      <c r="C181" s="13" t="s">
        <v>31</v>
      </c>
      <c r="D181" s="13" t="s">
        <v>23</v>
      </c>
      <c r="E181" s="13" t="s">
        <v>2</v>
      </c>
      <c r="F181" s="13" t="s">
        <v>35</v>
      </c>
      <c r="G181" s="14" t="n">
        <v>41818</v>
      </c>
      <c r="H181" s="14" t="n">
        <v>41822</v>
      </c>
      <c r="I181" s="12" t="n">
        <v>4</v>
      </c>
      <c r="J181" s="14" t="n">
        <v>41813</v>
      </c>
    </row>
    <row r="182" customFormat="false" ht="15" hidden="false" customHeight="true" outlineLevel="0" collapsed="false">
      <c r="A182" s="9" t="n">
        <v>272</v>
      </c>
      <c r="B182" s="9" t="n">
        <v>19</v>
      </c>
      <c r="C182" s="10" t="s">
        <v>22</v>
      </c>
      <c r="D182" s="10" t="s">
        <v>30</v>
      </c>
      <c r="E182" s="10" t="s">
        <v>2</v>
      </c>
      <c r="F182" s="10" t="s">
        <v>24</v>
      </c>
      <c r="G182" s="11" t="n">
        <v>41818</v>
      </c>
      <c r="H182" s="11" t="n">
        <v>41823</v>
      </c>
      <c r="I182" s="9" t="n">
        <v>5</v>
      </c>
      <c r="J182" s="11" t="n">
        <v>41813</v>
      </c>
    </row>
    <row r="183" customFormat="false" ht="15" hidden="false" customHeight="true" outlineLevel="0" collapsed="false">
      <c r="A183" s="12" t="n">
        <v>268</v>
      </c>
      <c r="B183" s="12" t="n">
        <v>30</v>
      </c>
      <c r="C183" s="13" t="s">
        <v>25</v>
      </c>
      <c r="D183" s="13" t="s">
        <v>30</v>
      </c>
      <c r="E183" s="13" t="s">
        <v>2</v>
      </c>
      <c r="F183" s="13" t="s">
        <v>24</v>
      </c>
      <c r="G183" s="14" t="n">
        <v>41818</v>
      </c>
      <c r="H183" s="14" t="n">
        <v>41823</v>
      </c>
      <c r="I183" s="12" t="n">
        <v>5</v>
      </c>
      <c r="J183" s="14" t="n">
        <v>41813</v>
      </c>
    </row>
    <row r="184" customFormat="false" ht="15" hidden="false" customHeight="true" outlineLevel="0" collapsed="false">
      <c r="A184" s="9" t="n">
        <v>257</v>
      </c>
      <c r="B184" s="9" t="n">
        <v>18</v>
      </c>
      <c r="C184" s="10" t="s">
        <v>22</v>
      </c>
      <c r="D184" s="10" t="s">
        <v>23</v>
      </c>
      <c r="E184" s="10" t="s">
        <v>2</v>
      </c>
      <c r="F184" s="10" t="s">
        <v>24</v>
      </c>
      <c r="G184" s="11" t="n">
        <v>41818</v>
      </c>
      <c r="H184" s="11" t="n">
        <v>41822</v>
      </c>
      <c r="I184" s="9" t="n">
        <v>4</v>
      </c>
      <c r="J184" s="11" t="n">
        <v>41813</v>
      </c>
    </row>
    <row r="185" customFormat="false" ht="15" hidden="false" customHeight="true" outlineLevel="0" collapsed="false">
      <c r="A185" s="12" t="n">
        <v>274</v>
      </c>
      <c r="B185" s="12" t="n">
        <v>35</v>
      </c>
      <c r="C185" s="13" t="s">
        <v>25</v>
      </c>
      <c r="D185" s="13" t="s">
        <v>30</v>
      </c>
      <c r="E185" s="13" t="s">
        <v>2</v>
      </c>
      <c r="F185" s="13" t="s">
        <v>24</v>
      </c>
      <c r="G185" s="14" t="n">
        <v>41818</v>
      </c>
      <c r="H185" s="14" t="n">
        <v>41823</v>
      </c>
      <c r="I185" s="12" t="n">
        <v>5</v>
      </c>
      <c r="J185" s="14" t="n">
        <v>41813</v>
      </c>
    </row>
    <row r="186" customFormat="false" ht="15" hidden="false" customHeight="true" outlineLevel="0" collapsed="false">
      <c r="A186" s="9" t="n">
        <v>263</v>
      </c>
      <c r="B186" s="9" t="n">
        <v>62</v>
      </c>
      <c r="C186" s="10" t="s">
        <v>32</v>
      </c>
      <c r="D186" s="10" t="s">
        <v>23</v>
      </c>
      <c r="E186" s="10" t="s">
        <v>2</v>
      </c>
      <c r="F186" s="10" t="s">
        <v>35</v>
      </c>
      <c r="G186" s="11" t="n">
        <v>41818</v>
      </c>
      <c r="H186" s="11" t="n">
        <v>41823</v>
      </c>
      <c r="I186" s="9" t="n">
        <v>5</v>
      </c>
      <c r="J186" s="11" t="n">
        <v>41813</v>
      </c>
    </row>
    <row r="187" customFormat="false" ht="15" hidden="false" customHeight="true" outlineLevel="0" collapsed="false">
      <c r="A187" s="12" t="n">
        <v>265</v>
      </c>
      <c r="B187" s="12" t="n">
        <v>30</v>
      </c>
      <c r="C187" s="13" t="s">
        <v>25</v>
      </c>
      <c r="D187" s="13" t="s">
        <v>23</v>
      </c>
      <c r="E187" s="13" t="s">
        <v>2</v>
      </c>
      <c r="F187" s="13" t="s">
        <v>24</v>
      </c>
      <c r="G187" s="14" t="n">
        <v>41818</v>
      </c>
      <c r="H187" s="14" t="n">
        <v>41825</v>
      </c>
      <c r="I187" s="12" t="n">
        <v>7</v>
      </c>
      <c r="J187" s="14" t="n">
        <v>41813</v>
      </c>
    </row>
    <row r="188" customFormat="false" ht="15" hidden="false" customHeight="true" outlineLevel="0" collapsed="false">
      <c r="A188" s="9" t="n">
        <v>276</v>
      </c>
      <c r="B188" s="9" t="n">
        <v>8</v>
      </c>
      <c r="C188" s="10" t="s">
        <v>34</v>
      </c>
      <c r="D188" s="10" t="s">
        <v>30</v>
      </c>
      <c r="E188" s="10" t="s">
        <v>2</v>
      </c>
      <c r="F188" s="10" t="s">
        <v>37</v>
      </c>
      <c r="G188" s="11" t="n">
        <v>41818</v>
      </c>
      <c r="H188" s="11" t="n">
        <v>41823</v>
      </c>
      <c r="I188" s="9" t="n">
        <v>5</v>
      </c>
      <c r="J188" s="11" t="n">
        <v>41813</v>
      </c>
    </row>
    <row r="189" customFormat="false" ht="15" hidden="false" customHeight="true" outlineLevel="0" collapsed="false">
      <c r="A189" s="12" t="n">
        <v>256</v>
      </c>
      <c r="B189" s="12" t="n">
        <v>7</v>
      </c>
      <c r="C189" s="13" t="s">
        <v>34</v>
      </c>
      <c r="D189" s="13" t="s">
        <v>30</v>
      </c>
      <c r="E189" s="13" t="s">
        <v>2</v>
      </c>
      <c r="F189" s="13" t="s">
        <v>35</v>
      </c>
      <c r="G189" s="14" t="n">
        <v>41818</v>
      </c>
      <c r="H189" s="14" t="n">
        <v>41820</v>
      </c>
      <c r="I189" s="12" t="n">
        <v>2</v>
      </c>
      <c r="J189" s="14" t="n">
        <v>41813</v>
      </c>
    </row>
    <row r="190" customFormat="false" ht="15" hidden="false" customHeight="true" outlineLevel="0" collapsed="false">
      <c r="A190" s="9" t="n">
        <v>262</v>
      </c>
      <c r="B190" s="9" t="n">
        <v>7</v>
      </c>
      <c r="C190" s="10" t="s">
        <v>34</v>
      </c>
      <c r="D190" s="10" t="s">
        <v>23</v>
      </c>
      <c r="E190" s="10" t="s">
        <v>2</v>
      </c>
      <c r="F190" s="10" t="s">
        <v>35</v>
      </c>
      <c r="G190" s="11" t="n">
        <v>41818</v>
      </c>
      <c r="H190" s="11" t="n">
        <v>41822</v>
      </c>
      <c r="I190" s="9" t="n">
        <v>4</v>
      </c>
      <c r="J190" s="11" t="n">
        <v>41813</v>
      </c>
    </row>
    <row r="191" customFormat="false" ht="15" hidden="false" customHeight="true" outlineLevel="0" collapsed="false">
      <c r="A191" s="12" t="n">
        <v>267</v>
      </c>
      <c r="B191" s="12" t="n">
        <v>25</v>
      </c>
      <c r="C191" s="13" t="s">
        <v>22</v>
      </c>
      <c r="D191" s="13" t="s">
        <v>30</v>
      </c>
      <c r="E191" s="13" t="s">
        <v>2</v>
      </c>
      <c r="F191" s="13" t="s">
        <v>33</v>
      </c>
      <c r="G191" s="14" t="n">
        <v>41818</v>
      </c>
      <c r="H191" s="14" t="n">
        <v>41823</v>
      </c>
      <c r="I191" s="12" t="n">
        <v>5</v>
      </c>
      <c r="J191" s="14" t="n">
        <v>41813</v>
      </c>
    </row>
    <row r="192" customFormat="false" ht="15" hidden="false" customHeight="true" outlineLevel="0" collapsed="false">
      <c r="A192" s="9" t="n">
        <v>269</v>
      </c>
      <c r="B192" s="9" t="n">
        <v>74</v>
      </c>
      <c r="C192" s="10" t="s">
        <v>32</v>
      </c>
      <c r="D192" s="10" t="s">
        <v>23</v>
      </c>
      <c r="E192" s="10" t="s">
        <v>2</v>
      </c>
      <c r="F192" s="10" t="s">
        <v>24</v>
      </c>
      <c r="G192" s="11" t="n">
        <v>41818</v>
      </c>
      <c r="H192" s="11" t="n">
        <v>41823</v>
      </c>
      <c r="I192" s="9" t="n">
        <v>5</v>
      </c>
      <c r="J192" s="11" t="n">
        <v>41813</v>
      </c>
    </row>
    <row r="193" customFormat="false" ht="15" hidden="false" customHeight="true" outlineLevel="0" collapsed="false">
      <c r="A193" s="12" t="n">
        <v>266</v>
      </c>
      <c r="B193" s="12" t="n">
        <v>30</v>
      </c>
      <c r="C193" s="13" t="s">
        <v>25</v>
      </c>
      <c r="D193" s="13" t="s">
        <v>30</v>
      </c>
      <c r="E193" s="13" t="s">
        <v>2</v>
      </c>
      <c r="F193" s="13" t="s">
        <v>33</v>
      </c>
      <c r="G193" s="14" t="n">
        <v>41818</v>
      </c>
      <c r="H193" s="14" t="n">
        <v>41823</v>
      </c>
      <c r="I193" s="12" t="n">
        <v>5</v>
      </c>
      <c r="J193" s="14" t="n">
        <v>41813</v>
      </c>
    </row>
    <row r="194" customFormat="false" ht="15" hidden="false" customHeight="true" outlineLevel="0" collapsed="false">
      <c r="A194" s="9" t="n">
        <v>273</v>
      </c>
      <c r="B194" s="9" t="n">
        <v>50</v>
      </c>
      <c r="C194" s="10" t="s">
        <v>26</v>
      </c>
      <c r="D194" s="10" t="s">
        <v>23</v>
      </c>
      <c r="E194" s="10" t="s">
        <v>2</v>
      </c>
      <c r="F194" s="10" t="s">
        <v>24</v>
      </c>
      <c r="G194" s="11" t="n">
        <v>41818</v>
      </c>
      <c r="H194" s="11" t="n">
        <v>41824</v>
      </c>
      <c r="I194" s="9" t="n">
        <v>6</v>
      </c>
      <c r="J194" s="11" t="n">
        <v>41813</v>
      </c>
    </row>
    <row r="195" customFormat="false" ht="15" hidden="false" customHeight="true" outlineLevel="0" collapsed="false">
      <c r="A195" s="12" t="n">
        <v>282</v>
      </c>
      <c r="B195" s="12" t="n">
        <v>62</v>
      </c>
      <c r="C195" s="13" t="s">
        <v>32</v>
      </c>
      <c r="D195" s="13" t="s">
        <v>23</v>
      </c>
      <c r="E195" s="13" t="s">
        <v>2</v>
      </c>
      <c r="F195" s="13" t="s">
        <v>35</v>
      </c>
      <c r="G195" s="14" t="n">
        <v>41819</v>
      </c>
      <c r="H195" s="14" t="n">
        <v>41823</v>
      </c>
      <c r="I195" s="12" t="n">
        <v>4</v>
      </c>
      <c r="J195" s="14" t="n">
        <v>41813</v>
      </c>
    </row>
    <row r="196" customFormat="false" ht="15" hidden="false" customHeight="true" outlineLevel="0" collapsed="false">
      <c r="A196" s="9" t="n">
        <v>280</v>
      </c>
      <c r="B196" s="9" t="n">
        <v>3</v>
      </c>
      <c r="C196" s="10" t="s">
        <v>31</v>
      </c>
      <c r="D196" s="10" t="s">
        <v>30</v>
      </c>
      <c r="E196" s="10" t="s">
        <v>2</v>
      </c>
      <c r="F196" s="10" t="s">
        <v>35</v>
      </c>
      <c r="G196" s="11" t="n">
        <v>41819</v>
      </c>
      <c r="H196" s="11" t="n">
        <v>41823</v>
      </c>
      <c r="I196" s="9" t="n">
        <v>4</v>
      </c>
      <c r="J196" s="11" t="n">
        <v>41813</v>
      </c>
    </row>
    <row r="197" customFormat="false" ht="15" hidden="false" customHeight="true" outlineLevel="0" collapsed="false">
      <c r="A197" s="12" t="n">
        <v>284</v>
      </c>
      <c r="B197" s="12" t="n">
        <v>74</v>
      </c>
      <c r="C197" s="13" t="s">
        <v>32</v>
      </c>
      <c r="D197" s="13" t="s">
        <v>30</v>
      </c>
      <c r="E197" s="13" t="s">
        <v>2</v>
      </c>
      <c r="F197" s="13" t="s">
        <v>24</v>
      </c>
      <c r="G197" s="14" t="n">
        <v>41819</v>
      </c>
      <c r="H197" s="14" t="n">
        <v>41828</v>
      </c>
      <c r="I197" s="12" t="n">
        <v>9</v>
      </c>
      <c r="J197" s="14" t="n">
        <v>41813</v>
      </c>
    </row>
    <row r="198" customFormat="false" ht="15" hidden="false" customHeight="true" outlineLevel="0" collapsed="false">
      <c r="A198" s="9" t="n">
        <v>277</v>
      </c>
      <c r="B198" s="9" t="n">
        <v>30</v>
      </c>
      <c r="C198" s="10" t="s">
        <v>25</v>
      </c>
      <c r="D198" s="10" t="s">
        <v>23</v>
      </c>
      <c r="E198" s="10" t="s">
        <v>2</v>
      </c>
      <c r="F198" s="10" t="s">
        <v>35</v>
      </c>
      <c r="G198" s="11" t="n">
        <v>41819</v>
      </c>
      <c r="H198" s="11" t="n">
        <v>41821</v>
      </c>
      <c r="I198" s="9" t="n">
        <v>2</v>
      </c>
      <c r="J198" s="11" t="n">
        <v>41813</v>
      </c>
    </row>
    <row r="199" customFormat="false" ht="15" hidden="false" customHeight="true" outlineLevel="0" collapsed="false">
      <c r="A199" s="12" t="n">
        <v>283</v>
      </c>
      <c r="B199" s="12" t="n">
        <v>10</v>
      </c>
      <c r="C199" s="13" t="s">
        <v>34</v>
      </c>
      <c r="D199" s="13" t="s">
        <v>23</v>
      </c>
      <c r="E199" s="13" t="s">
        <v>2</v>
      </c>
      <c r="F199" s="13" t="s">
        <v>24</v>
      </c>
      <c r="G199" s="14" t="n">
        <v>41819</v>
      </c>
      <c r="H199" s="14" t="n">
        <v>41824</v>
      </c>
      <c r="I199" s="12" t="n">
        <v>5</v>
      </c>
      <c r="J199" s="14" t="n">
        <v>41813</v>
      </c>
    </row>
    <row r="200" customFormat="false" ht="15" hidden="false" customHeight="true" outlineLevel="0" collapsed="false">
      <c r="A200" s="9" t="n">
        <v>285</v>
      </c>
      <c r="B200" s="9" t="n">
        <v>65</v>
      </c>
      <c r="C200" s="10" t="s">
        <v>32</v>
      </c>
      <c r="D200" s="10" t="s">
        <v>23</v>
      </c>
      <c r="E200" s="10" t="s">
        <v>2</v>
      </c>
      <c r="F200" s="10" t="s">
        <v>24</v>
      </c>
      <c r="G200" s="11" t="n">
        <v>41819</v>
      </c>
      <c r="H200" s="11" t="n">
        <v>41828</v>
      </c>
      <c r="I200" s="9" t="n">
        <v>9</v>
      </c>
      <c r="J200" s="11" t="n">
        <v>41813</v>
      </c>
    </row>
    <row r="201" customFormat="false" ht="15" hidden="false" customHeight="true" outlineLevel="0" collapsed="false">
      <c r="A201" s="12" t="n">
        <v>281</v>
      </c>
      <c r="B201" s="12" t="n">
        <v>25</v>
      </c>
      <c r="C201" s="13" t="s">
        <v>22</v>
      </c>
      <c r="D201" s="13" t="s">
        <v>23</v>
      </c>
      <c r="E201" s="13" t="s">
        <v>2</v>
      </c>
      <c r="F201" s="13" t="s">
        <v>35</v>
      </c>
      <c r="G201" s="14" t="n">
        <v>41819</v>
      </c>
      <c r="H201" s="14" t="n">
        <v>41823</v>
      </c>
      <c r="I201" s="12" t="n">
        <v>4</v>
      </c>
      <c r="J201" s="14" t="n">
        <v>41813</v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4"/>
  </cols>
  <sheetData>
    <row r="1" customFormat="false" ht="15" hidden="false" customHeight="true" outlineLevel="0" collapsed="false">
      <c r="A1" s="15" t="s">
        <v>38</v>
      </c>
      <c r="H1" s="1" t="s">
        <v>2</v>
      </c>
      <c r="I1" s="1" t="n">
        <f aca="false">Metrics!B3</f>
        <v>182</v>
      </c>
    </row>
    <row r="2" customFormat="false" ht="15" hidden="false" customHeight="true" outlineLevel="0" collapsed="false">
      <c r="A2" s="16" t="s">
        <v>1</v>
      </c>
      <c r="B2" s="17" t="n">
        <f aca="false">COUNTA(Data!E2:E201)</f>
        <v>200</v>
      </c>
      <c r="H2" s="1" t="s">
        <v>27</v>
      </c>
      <c r="I2" s="1" t="n">
        <f aca="false">Metrics!B4</f>
        <v>18</v>
      </c>
    </row>
    <row r="3" customFormat="false" ht="15" hidden="false" customHeight="true" outlineLevel="0" collapsed="false">
      <c r="A3" s="18" t="s">
        <v>39</v>
      </c>
      <c r="B3" s="19" t="n">
        <f aca="false">COUNTIF(Data!$E$2:$E$201,"Confirmed")</f>
        <v>182</v>
      </c>
    </row>
    <row r="4" customFormat="false" ht="15" hidden="false" customHeight="true" outlineLevel="0" collapsed="false">
      <c r="A4" s="16" t="s">
        <v>40</v>
      </c>
      <c r="B4" s="17" t="n">
        <f aca="false">COUNTIF(Data!$E$2:$E$201,"Suspected")</f>
        <v>18</v>
      </c>
    </row>
    <row r="5" customFormat="false" ht="15" hidden="false" customHeight="true" outlineLevel="0" collapsed="false">
      <c r="A5" s="18" t="s">
        <v>3</v>
      </c>
      <c r="B5" s="20" t="n">
        <f aca="false">COUNTIF(Data!$E$2:$E$201,"Confirmed")/COUNTA(Data!E2:E201)</f>
        <v>0.91</v>
      </c>
    </row>
    <row r="6" customFormat="false" ht="15" hidden="false" customHeight="true" outlineLevel="0" collapsed="false">
      <c r="A6" s="16" t="s">
        <v>41</v>
      </c>
      <c r="B6" s="17" t="n">
        <f aca="false">SUMPRODUCT(1/COUNTIF(Data!F2:F201,Data!F2:F201))</f>
        <v>6</v>
      </c>
    </row>
    <row r="7" customFormat="false" ht="15" hidden="false" customHeight="true" outlineLevel="0" collapsed="false">
      <c r="A7" s="18" t="s">
        <v>42</v>
      </c>
      <c r="B7" s="21" t="n">
        <f aca="false">AVERAGE(Data!$B$2:$B$201)</f>
        <v>33.1243523316062</v>
      </c>
    </row>
    <row r="8" customFormat="false" ht="15" hidden="false" customHeight="true" outlineLevel="0" collapsed="false">
      <c r="A8" s="16" t="s">
        <v>43</v>
      </c>
      <c r="B8" s="22" t="n">
        <f aca="false">MEDIAN(Data!$B$2:$B$201)</f>
        <v>32</v>
      </c>
    </row>
    <row r="9" customFormat="false" ht="15" hidden="false" customHeight="true" outlineLevel="0" collapsed="false">
      <c r="A9" s="18" t="s">
        <v>44</v>
      </c>
      <c r="B9" s="19" t="n">
        <f aca="false">COUNTIF(Data!$D$2:$D$201,"Female")</f>
        <v>124</v>
      </c>
    </row>
    <row r="10" customFormat="false" ht="15" hidden="false" customHeight="true" outlineLevel="0" collapsed="false">
      <c r="A10" s="16" t="s">
        <v>45</v>
      </c>
      <c r="B10" s="17" t="n">
        <f aca="false">COUNTIF(Data!$D$2:$D$201,"Male")</f>
        <v>76</v>
      </c>
    </row>
    <row r="11" customFormat="false" ht="15" hidden="false" customHeight="true" outlineLevel="0" collapsed="false">
      <c r="A11" s="18" t="s">
        <v>46</v>
      </c>
      <c r="B11" s="21" t="n">
        <f aca="false">COUNTIF(Data!$D$2:$D$201,"Female")/COUNTIF(Data!$D$2:$D$201,"Male")</f>
        <v>1.63157894736842</v>
      </c>
    </row>
    <row r="12" customFormat="false" ht="15" hidden="false" customHeight="true" outlineLevel="0" collapsed="false">
      <c r="A12" s="16" t="s">
        <v>47</v>
      </c>
      <c r="B12" s="22" t="n">
        <f aca="false">AVERAGE(Data!$I$2:$I$201)</f>
        <v>5.685</v>
      </c>
    </row>
    <row r="13" customFormat="false" ht="15" hidden="false" customHeight="true" outlineLevel="0" collapsed="false">
      <c r="A13" s="18" t="s">
        <v>48</v>
      </c>
      <c r="B13" s="21" t="n">
        <f aca="false">MAX(Data!$I$2:$I$201)</f>
        <v>45</v>
      </c>
    </row>
    <row r="14" customFormat="false" ht="15" hidden="false" customHeight="true" outlineLevel="0" collapsed="false">
      <c r="A14" s="16" t="s">
        <v>49</v>
      </c>
      <c r="B14" s="17" t="str">
        <f aca="false">TEXT(MIN(Data!G2:G201),"yyyy-mm-dd")</f>
        <v>2014-05-18</v>
      </c>
    </row>
    <row r="15" customFormat="false" ht="15" hidden="false" customHeight="true" outlineLevel="0" collapsed="false">
      <c r="A15" s="18" t="s">
        <v>50</v>
      </c>
      <c r="B15" s="19" t="str">
        <f aca="false">TEXT(MAX(Data!G2:G201),"yyyy-mm-dd")</f>
        <v>2014-06-29</v>
      </c>
    </row>
    <row r="16" customFormat="false" ht="15" hidden="false" customHeight="true" outlineLevel="0" collapsed="false">
      <c r="A16" s="16" t="s">
        <v>51</v>
      </c>
      <c r="B16" s="17" t="n">
        <f aca="false">MAX(Data!G2:G201)-MIN(Data!G2:G201)</f>
        <v>42</v>
      </c>
    </row>
    <row r="18" customFormat="false" ht="15" hidden="false" customHeight="true" outlineLevel="0" collapsed="false">
      <c r="A18" s="15" t="s">
        <v>7</v>
      </c>
    </row>
    <row r="19" customFormat="false" ht="15" hidden="false" customHeight="true" outlineLevel="0" collapsed="false">
      <c r="A19" s="23" t="s">
        <v>17</v>
      </c>
      <c r="B19" s="23" t="s">
        <v>52</v>
      </c>
      <c r="C19" s="23" t="s">
        <v>2</v>
      </c>
      <c r="D19" s="23" t="s">
        <v>27</v>
      </c>
      <c r="E19" s="23" t="s">
        <v>53</v>
      </c>
    </row>
    <row r="20" customFormat="false" ht="15" hidden="false" customHeight="true" outlineLevel="0" collapsed="false">
      <c r="A20" s="13" t="s">
        <v>33</v>
      </c>
      <c r="B20" s="24" t="n">
        <f aca="false">COUNTIF(Data!$F$2:$F$201,"Bo")</f>
        <v>4</v>
      </c>
      <c r="C20" s="25" t="n">
        <f aca="false">COUNTIFS(Data!$F$2:$F$201,"Bo",Data!$E$2:$E$201,"Confirmed")</f>
        <v>2</v>
      </c>
      <c r="D20" s="25" t="n">
        <f aca="false">COUNTIFS(Data!$F$2:$F$201,"Bo",Data!$E$2:$E$201,"Suspected")</f>
        <v>2</v>
      </c>
      <c r="E20" s="26" t="n">
        <f aca="false">B20/SUM($B$20:$B$25)</f>
        <v>0.02</v>
      </c>
    </row>
    <row r="21" customFormat="false" ht="15" hidden="false" customHeight="true" outlineLevel="0" collapsed="false">
      <c r="A21" s="10" t="s">
        <v>24</v>
      </c>
      <c r="B21" s="27" t="n">
        <f aca="false">COUNTIF(Data!$F$2:$F$201,"Kailahun")</f>
        <v>146</v>
      </c>
      <c r="C21" s="28" t="n">
        <f aca="false">COUNTIFS(Data!$F$2:$F$201,"Kailahun",Data!$E$2:$E$201,"Confirmed")</f>
        <v>135</v>
      </c>
      <c r="D21" s="28" t="n">
        <f aca="false">COUNTIFS(Data!$F$2:$F$201,"Kailahun",Data!$E$2:$E$201,"Suspected")</f>
        <v>11</v>
      </c>
      <c r="E21" s="29" t="n">
        <f aca="false">B21/SUM($B$20:$B$25)</f>
        <v>0.73</v>
      </c>
    </row>
    <row r="22" customFormat="false" ht="15" hidden="false" customHeight="true" outlineLevel="0" collapsed="false">
      <c r="A22" s="13" t="s">
        <v>35</v>
      </c>
      <c r="B22" s="24" t="n">
        <f aca="false">COUNTIF(Data!$F$2:$F$201,"Kenema")</f>
        <v>41</v>
      </c>
      <c r="C22" s="25" t="n">
        <f aca="false">COUNTIFS(Data!$F$2:$F$201,"Kenema",Data!$E$2:$E$201,"Confirmed")</f>
        <v>40</v>
      </c>
      <c r="D22" s="25" t="n">
        <f aca="false">COUNTIFS(Data!$F$2:$F$201,"Kenema",Data!$E$2:$E$201,"Suspected")</f>
        <v>1</v>
      </c>
      <c r="E22" s="26" t="n">
        <f aca="false">B22/SUM($B$20:$B$25)</f>
        <v>0.205</v>
      </c>
    </row>
    <row r="23" customFormat="false" ht="15" hidden="false" customHeight="true" outlineLevel="0" collapsed="false">
      <c r="A23" s="10" t="s">
        <v>37</v>
      </c>
      <c r="B23" s="27" t="n">
        <f aca="false">COUNTIF(Data!$F$2:$F$201,"Kono")</f>
        <v>2</v>
      </c>
      <c r="C23" s="28" t="n">
        <f aca="false">COUNTIFS(Data!$F$2:$F$201,"Kono",Data!$E$2:$E$201,"Confirmed")</f>
        <v>2</v>
      </c>
      <c r="D23" s="28" t="n">
        <f aca="false">COUNTIFS(Data!$F$2:$F$201,"Kono",Data!$E$2:$E$201,"Suspected")</f>
        <v>0</v>
      </c>
      <c r="E23" s="29" t="n">
        <f aca="false">B23/SUM($B$20:$B$25)</f>
        <v>0.01</v>
      </c>
    </row>
    <row r="24" customFormat="false" ht="15" hidden="false" customHeight="true" outlineLevel="0" collapsed="false">
      <c r="A24" s="13" t="s">
        <v>36</v>
      </c>
      <c r="B24" s="24" t="n">
        <f aca="false">COUNTIF(Data!$F$2:$F$201,"Port Loko")</f>
        <v>2</v>
      </c>
      <c r="C24" s="25" t="n">
        <f aca="false">COUNTIFS(Data!$F$2:$F$201,"Port Loko",Data!$E$2:$E$201,"Confirmed")</f>
        <v>2</v>
      </c>
      <c r="D24" s="25" t="n">
        <f aca="false">COUNTIFS(Data!$F$2:$F$201,"Port Loko",Data!$E$2:$E$201,"Suspected")</f>
        <v>0</v>
      </c>
      <c r="E24" s="26" t="n">
        <f aca="false">B24/SUM($B$20:$B$25)</f>
        <v>0.01</v>
      </c>
    </row>
    <row r="25" customFormat="false" ht="15" hidden="false" customHeight="true" outlineLevel="0" collapsed="false">
      <c r="A25" s="10" t="s">
        <v>28</v>
      </c>
      <c r="B25" s="27" t="n">
        <f aca="false">COUNTIF(Data!$F$2:$F$201,"Western Urban")</f>
        <v>5</v>
      </c>
      <c r="C25" s="28" t="n">
        <f aca="false">COUNTIFS(Data!$F$2:$F$201,"Western Urban",Data!$E$2:$E$201,"Confirmed")</f>
        <v>1</v>
      </c>
      <c r="D25" s="28" t="n">
        <f aca="false">COUNTIFS(Data!$F$2:$F$201,"Western Urban",Data!$E$2:$E$201,"Suspected")</f>
        <v>4</v>
      </c>
      <c r="E25" s="29" t="n">
        <f aca="false">B25/SUM($B$20:$B$25)</f>
        <v>0.025</v>
      </c>
    </row>
    <row r="27" customFormat="false" ht="15" hidden="false" customHeight="true" outlineLevel="0" collapsed="false">
      <c r="A27" s="15" t="s">
        <v>9</v>
      </c>
    </row>
    <row r="28" customFormat="false" ht="15" hidden="false" customHeight="true" outlineLevel="0" collapsed="false">
      <c r="A28" s="23" t="s">
        <v>14</v>
      </c>
      <c r="B28" s="23" t="s">
        <v>54</v>
      </c>
    </row>
    <row r="29" customFormat="false" ht="15" hidden="false" customHeight="true" outlineLevel="0" collapsed="false">
      <c r="A29" s="13" t="s">
        <v>31</v>
      </c>
      <c r="B29" s="25" t="n">
        <f aca="false">COUNTIF(Data!$C$2:$C$201,"0-4")</f>
        <v>11</v>
      </c>
    </row>
    <row r="30" customFormat="false" ht="15" hidden="false" customHeight="true" outlineLevel="0" collapsed="false">
      <c r="A30" s="10" t="s">
        <v>34</v>
      </c>
      <c r="B30" s="28" t="n">
        <f aca="false">COUNTIF(Data!$C$2:$C$201,"5-17")</f>
        <v>32</v>
      </c>
    </row>
    <row r="31" customFormat="false" ht="15" hidden="false" customHeight="true" outlineLevel="0" collapsed="false">
      <c r="A31" s="13" t="s">
        <v>22</v>
      </c>
      <c r="B31" s="25" t="n">
        <f aca="false">COUNTIF(Data!$C$2:$C$201,"18-29")</f>
        <v>33</v>
      </c>
    </row>
    <row r="32" customFormat="false" ht="15" hidden="false" customHeight="true" outlineLevel="0" collapsed="false">
      <c r="A32" s="10" t="s">
        <v>25</v>
      </c>
      <c r="B32" s="28" t="n">
        <f aca="false">COUNTIF(Data!$C$2:$C$201,"30-44")</f>
        <v>66</v>
      </c>
    </row>
    <row r="33" customFormat="false" ht="15" hidden="false" customHeight="true" outlineLevel="0" collapsed="false">
      <c r="A33" s="13" t="s">
        <v>26</v>
      </c>
      <c r="B33" s="25" t="n">
        <f aca="false">COUNTIF(Data!$C$2:$C$201,"45-59")</f>
        <v>30</v>
      </c>
    </row>
    <row r="34" customFormat="false" ht="15" hidden="false" customHeight="true" outlineLevel="0" collapsed="false">
      <c r="A34" s="10" t="s">
        <v>32</v>
      </c>
      <c r="B34" s="28" t="n">
        <f aca="false">COUNTIF(Data!$C$2:$C$201,"60+")</f>
        <v>21</v>
      </c>
    </row>
    <row r="36" customFormat="false" ht="15" hidden="false" customHeight="true" outlineLevel="0" collapsed="false">
      <c r="A36" s="15" t="s">
        <v>10</v>
      </c>
    </row>
    <row r="37" customFormat="false" ht="15" hidden="false" customHeight="true" outlineLevel="0" collapsed="false">
      <c r="A37" s="23" t="s">
        <v>15</v>
      </c>
      <c r="B37" s="23" t="s">
        <v>54</v>
      </c>
    </row>
    <row r="38" customFormat="false" ht="15" hidden="false" customHeight="true" outlineLevel="0" collapsed="false">
      <c r="A38" s="13" t="s">
        <v>23</v>
      </c>
      <c r="B38" s="25" t="n">
        <f aca="false">COUNTIF(Data!$D$2:$D$201,"Female")</f>
        <v>124</v>
      </c>
    </row>
    <row r="39" customFormat="false" ht="15" hidden="false" customHeight="true" outlineLevel="0" collapsed="false">
      <c r="A39" s="13" t="s">
        <v>30</v>
      </c>
      <c r="B39" s="25" t="n">
        <f aca="false">COUNTIF(Data!$D$2:$D$201,"Male")</f>
        <v>76</v>
      </c>
    </row>
    <row r="41" customFormat="false" ht="15" hidden="false" customHeight="true" outlineLevel="0" collapsed="false">
      <c r="A41" s="15" t="s">
        <v>55</v>
      </c>
    </row>
    <row r="42" customFormat="false" ht="15" hidden="false" customHeight="true" outlineLevel="0" collapsed="false">
      <c r="A42" s="23" t="s">
        <v>56</v>
      </c>
      <c r="B42" s="23" t="s">
        <v>57</v>
      </c>
    </row>
    <row r="43" customFormat="false" ht="15" hidden="false" customHeight="true" outlineLevel="0" collapsed="false">
      <c r="A43" s="30" t="n">
        <v>41771</v>
      </c>
      <c r="B43" s="25" t="n">
        <f aca="false">COUNTIF(Data!$J$2:$J$201,DATE(2014,5,12))</f>
        <v>1</v>
      </c>
    </row>
    <row r="44" customFormat="false" ht="15" hidden="false" customHeight="true" outlineLevel="0" collapsed="false">
      <c r="A44" s="30" t="n">
        <v>41778</v>
      </c>
      <c r="B44" s="25" t="n">
        <f aca="false">COUNTIF(Data!$J$2:$J$201,DATE(2014,5,19))</f>
        <v>7</v>
      </c>
    </row>
    <row r="45" customFormat="false" ht="15" hidden="false" customHeight="true" outlineLevel="0" collapsed="false">
      <c r="A45" s="30" t="n">
        <v>41785</v>
      </c>
      <c r="B45" s="25" t="n">
        <f aca="false">COUNTIF(Data!$J$2:$J$201,DATE(2014,5,26))</f>
        <v>33</v>
      </c>
    </row>
    <row r="46" customFormat="false" ht="15" hidden="false" customHeight="true" outlineLevel="0" collapsed="false">
      <c r="A46" s="30" t="n">
        <v>41792</v>
      </c>
      <c r="B46" s="25" t="n">
        <f aca="false">COUNTIF(Data!$J$2:$J$201,DATE(2014,6,2))</f>
        <v>15</v>
      </c>
    </row>
    <row r="47" customFormat="false" ht="15" hidden="false" customHeight="true" outlineLevel="0" collapsed="false">
      <c r="A47" s="30" t="n">
        <v>41799</v>
      </c>
      <c r="B47" s="25" t="n">
        <f aca="false">COUNTIF(Data!$J$2:$J$201,DATE(2014,6,9))</f>
        <v>57</v>
      </c>
    </row>
    <row r="48" customFormat="false" ht="15" hidden="false" customHeight="true" outlineLevel="0" collapsed="false">
      <c r="A48" s="30" t="n">
        <v>41806</v>
      </c>
      <c r="B48" s="25" t="n">
        <f aca="false">COUNTIF(Data!$J$2:$J$201,DATE(2014,6,16))</f>
        <v>28</v>
      </c>
    </row>
    <row r="49" customFormat="false" ht="15" hidden="false" customHeight="true" outlineLevel="0" collapsed="false">
      <c r="A49" s="30" t="n">
        <v>41813</v>
      </c>
      <c r="B49" s="25" t="n">
        <f aca="false">COUNTIF(Data!$J$2:$J$201,DATE(2014,6,23))</f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2026-06-29T09:03:31Z</dcterms:created>
  <dc:creator>openpyxl</dc:creator>
  <dc:description/>
  <dc:language>en-US</dc:language>
  <cp:lastModifiedBy/>
  <dcterms:modified xsi:type="dcterms:W3CDTF">2026-06-29T09:04:20Z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